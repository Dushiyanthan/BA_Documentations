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V\Associate or Junior position\BA\Portfolio\"/>
    </mc:Choice>
  </mc:AlternateContent>
  <xr:revisionPtr revIDLastSave="0" documentId="8_{33FA3CB7-E61F-4C8A-8C4E-E7BECDF695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  <sheet name="Summary" sheetId="2" r:id="rId2"/>
    <sheet name="Test Data &amp; TBCs" sheetId="3" r:id="rId3"/>
  </sheets>
  <definedNames>
    <definedName name="_xlnm._FilterDatabase" localSheetId="0" hidden="1">'Test Cases'!$A$1:$Q$56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</calcChain>
</file>

<file path=xl/sharedStrings.xml><?xml version="1.0" encoding="utf-8"?>
<sst xmlns="http://schemas.openxmlformats.org/spreadsheetml/2006/main" count="760" uniqueCount="508">
  <si>
    <t>Test Case ID</t>
  </si>
  <si>
    <t>Module</t>
  </si>
  <si>
    <t>Test Case Title</t>
  </si>
  <si>
    <t>Requirement / Traceability</t>
  </si>
  <si>
    <t>Test Type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</si>
  <si>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</si>
  <si>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</si>
  <si>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</si>
  <si>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</si>
  <si>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</si>
  <si>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</si>
  <si>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</si>
  <si>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Severity</t>
  </si>
  <si>
    <t>Executed By</t>
  </si>
  <si>
    <t>Execution Date</t>
  </si>
  <si>
    <t>Defect ID</t>
  </si>
  <si>
    <t>Notes / TBC</t>
  </si>
  <si>
    <t>TC-001</t>
  </si>
  <si>
    <t>Authentication</t>
  </si>
  <si>
    <t>Sign in with valid student credentials</t>
  </si>
  <si>
    <t>FR-AUTH-001, FR-AUTH-002; PF-01; EP-01</t>
  </si>
  <si>
    <t>Positive / Functional</t>
  </si>
  <si>
    <t>High</t>
  </si>
  <si>
    <t>A registered student account exists and is active.</t>
  </si>
  <si>
    <t>1. Open the LMS sign-in page.
2. Enter the valid student username/email and password.
3. Select Sign in.</t>
  </si>
  <si>
    <t>Valid student account</t>
  </si>
  <si>
    <t>The credentials are accepted and the student is taken to the permitted LMS view.</t>
  </si>
  <si>
    <t>Not Run</t>
  </si>
  <si>
    <t>TC-002</t>
  </si>
  <si>
    <t>Reject an incorrect password</t>
  </si>
  <si>
    <t>Negative / Functional</t>
  </si>
  <si>
    <t>A registered active account exists.</t>
  </si>
  <si>
    <t>1. Open the sign-in page.
2. Enter a valid username/email and an incorrect password.
3. Select Sign in.</t>
  </si>
  <si>
    <t>Valid username; incorrect password</t>
  </si>
  <si>
    <t>Access is denied and a clear, non-sensitive error message is shown.</t>
  </si>
  <si>
    <t>TC-003</t>
  </si>
  <si>
    <t>Reject an unregistered account</t>
  </si>
  <si>
    <t>The sign-in page is available.</t>
  </si>
  <si>
    <t>1. Enter credentials for an account that does not exist.
2. Select Sign in.</t>
  </si>
  <si>
    <t>Unregistered username/email</t>
  </si>
  <si>
    <t>Access is denied and protected LMS content is not displayed.</t>
  </si>
  <si>
    <t>TC-004</t>
  </si>
  <si>
    <t>Validate required sign-in fields</t>
  </si>
  <si>
    <t>FR-AUTH-001; EP-01</t>
  </si>
  <si>
    <t>Validation</t>
  </si>
  <si>
    <t>1. Leave username/email and password blank.
2. Select Sign in.
3. Repeat with only one field blank.</t>
  </si>
  <si>
    <t>Blank username/email and/or password</t>
  </si>
  <si>
    <t>Required-field validation is displayed and authentication is not attempted with incomplete input.</t>
  </si>
  <si>
    <t>Medium</t>
  </si>
  <si>
    <t>TC-005</t>
  </si>
  <si>
    <t>Sign out from an authenticated session</t>
  </si>
  <si>
    <t>FR-AUTH-003; PF-01; EP-01</t>
  </si>
  <si>
    <t>Functional</t>
  </si>
  <si>
    <t>A user is signed in.</t>
  </si>
  <si>
    <t>1. Select Sign out.
2. Attempt to open a protected page using the previous session or browser navigation.</t>
  </si>
  <si>
    <t>Authenticated student/tutor/admin</t>
  </si>
  <si>
    <t>The session is ended and protected content requires authentication again.</t>
  </si>
  <si>
    <t>Session expiry and token invalidation details should be confirmed in the implementation.</t>
  </si>
  <si>
    <t>TC-006</t>
  </si>
  <si>
    <t>Authorization</t>
  </si>
  <si>
    <t>Show functionality appropriate to student role</t>
  </si>
  <si>
    <t>FR-AUTH-004, FR-AUTH-005; PF-01; EP-01</t>
  </si>
  <si>
    <t>Role-based access</t>
  </si>
  <si>
    <t>A student account is available.</t>
  </si>
  <si>
    <t>1. Sign in as a student.
2. Inspect navigation and available actions.
3. Attempt to open a known administrator-only route if the route is known.</t>
  </si>
  <si>
    <t>Student account</t>
  </si>
  <si>
    <t>Student sees permitted features only; restricted administrative functions and records are inaccessible.</t>
  </si>
  <si>
    <t>Critical</t>
  </si>
  <si>
    <t>TC-007</t>
  </si>
  <si>
    <t>Restrict tutor access to assigned courses</t>
  </si>
  <si>
    <t>FR-AUTH-005; PF-06; EP-01</t>
  </si>
  <si>
    <t>Security / Authorization</t>
  </si>
  <si>
    <t>Tutor has one assigned course and another course outside their scope.</t>
  </si>
  <si>
    <t>1. Sign in as the tutor.
2. Open a submission or course in the assigned course.
3. Attempt to open a course/submission outside the tutor's scope.</t>
  </si>
  <si>
    <t>Tutor T-01; assigned course C-01; unassigned course C-02</t>
  </si>
  <si>
    <t>Assigned-course content is accessible; unassigned-course content is denied.</t>
  </si>
  <si>
    <t>TC-008</t>
  </si>
  <si>
    <t>Prevent unauthenticated access to protected pages</t>
  </si>
  <si>
    <t>FR-AUTH-002, FR-AUTH-005; PF-01; EP-01</t>
  </si>
  <si>
    <t>Security</t>
  </si>
  <si>
    <t>User is signed out.</t>
  </si>
  <si>
    <t>1. Enter a protected page URL directly in the browser.
2. Observe the system response.</t>
  </si>
  <si>
    <t>Direct URL to protected dashboard or course page</t>
  </si>
  <si>
    <t>The user is redirected to sign-in or shown an access-denied response; protected data is not exposed.</t>
  </si>
  <si>
    <t>TC-009</t>
  </si>
  <si>
    <t>Student Data</t>
  </si>
  <si>
    <t>Create a student record with valid required data</t>
  </si>
  <si>
    <t>FR-STU-001–004; FR-DATA-001–004; EP-02</t>
  </si>
  <si>
    <t>Administrator is signed in and has student-record permissions.</t>
  </si>
  <si>
    <t>1. Open student management.
2. Choose Add Student.
3. Enter valid required fields and save.
4. Search for the newly created student.</t>
  </si>
  <si>
    <t>Unique student ID; valid name and required academic fields</t>
  </si>
  <si>
    <t>The student record is saved once and can be retrieved with the entered values.</t>
  </si>
  <si>
    <t>TC-010</t>
  </si>
  <si>
    <t>Prevent duplicate student identifiers</t>
  </si>
  <si>
    <t>Negative / Validation</t>
  </si>
  <si>
    <t>A student record with the identifier already exists.</t>
  </si>
  <si>
    <t>1. Open Add Student.
2. Enter an identifier already used by another student.
3. Save the record.</t>
  </si>
  <si>
    <t>Duplicate student ID</t>
  </si>
  <si>
    <t>The duplicate record is rejected or flagged according to the agreed rule; existing data is not overwritten.</t>
  </si>
  <si>
    <t>Confirm the unique-key rule and exact validation message.</t>
  </si>
  <si>
    <t>TC-011</t>
  </si>
  <si>
    <t>Validate required student fields</t>
  </si>
  <si>
    <t>Administrator is on the student form.</t>
  </si>
  <si>
    <t>1. Leave one or more required fields blank.
2. Select Save.</t>
  </si>
  <si>
    <t>Missing student ID/name or other required field</t>
  </si>
  <si>
    <t>The record is not saved and required fields are identified for correction.</t>
  </si>
  <si>
    <t>Exact required fields must match the approved data dictionary.</t>
  </si>
  <si>
    <t>TC-012</t>
  </si>
  <si>
    <t>Reject invalid academic score values</t>
  </si>
  <si>
    <t>FR-DATA-001–004; EP-02, EP-08</t>
  </si>
  <si>
    <t>Negative / Boundary</t>
  </si>
  <si>
    <t>A student academic-data form or import process is available.</t>
  </si>
  <si>
    <t>1. Enter a score below the allowed range and attempt to save/import.
2. Repeat with a score above the allowed range.
3. Repeat with non-numeric text.</t>
  </si>
  <si>
    <t>Example invalid values: -1, 101, 'abc'</t>
  </si>
  <si>
    <t>Invalid scores are rejected or quarantined with an actionable validation message; invalid data is not silently accepted.</t>
  </si>
  <si>
    <t>Assumes a 0–100 score scale; confirm the official score range before execution.</t>
  </si>
  <si>
    <t>TC-013</t>
  </si>
  <si>
    <t>Validate behavioural fields and numeric values</t>
  </si>
  <si>
    <t>Student behavioural data can be entered or imported.</t>
  </si>
  <si>
    <t>1. Submit a valid absence-days and weekly-self-study-hours value.
2. Try negative values and invalid text.
3. Save/import the data.</t>
  </si>
  <si>
    <t>Valid example: absence_days=2; weekly_self_study_hours=8; invalid examples=-1/'many'</t>
  </si>
  <si>
    <t>Valid values are accepted; invalid values are flagged and excluded from analytics until corrected.</t>
  </si>
  <si>
    <t>Allowed ranges and handling of missing values require stakeholder confirmation.</t>
  </si>
  <si>
    <t>TC-014</t>
  </si>
  <si>
    <t>Import the available student dataset</t>
  </si>
  <si>
    <t>FR-DATA-001–004; BR-003, BR-010; EP-02</t>
  </si>
  <si>
    <t>Integration / Data</t>
  </si>
  <si>
    <t>An approved import route and a valid sample dataset are available.</t>
  </si>
  <si>
    <t>1. Start the data import.
2. Select the supported dataset file.
3. Confirm import and inspect the import result and student records.</t>
  </si>
  <si>
    <t>Sample CSV containing approved student fields</t>
  </si>
  <si>
    <t>Supported records are imported and the system reports the import outcome without unexplained loss or duplication.</t>
  </si>
  <si>
    <t>File format, size limit, column mapping and partial-failure behaviour are TBC.</t>
  </si>
  <si>
    <t>TC-015</t>
  </si>
  <si>
    <t>Handle missing values in imported records</t>
  </si>
  <si>
    <t>FR-DATA-001–004; EP-02, EP-06, EP-08</t>
  </si>
  <si>
    <t>Negative / Data quality</t>
  </si>
  <si>
    <t>A dataset with a missing required field is available.</t>
  </si>
  <si>
    <t>1. Import a record with a required value missing.
2. Review import feedback and the resulting record.
3. Check whether the record is eligible for prediction.</t>
  </si>
  <si>
    <t>CSV row with missing required field</t>
  </si>
  <si>
    <t>Missing data is clearly reported; the record is not treated as complete or prediction-ready unless an approved rule allows it.</t>
  </si>
  <si>
    <t>Exact required-field and missing-value policy is TBC.</t>
  </si>
  <si>
    <t>TC-016</t>
  </si>
  <si>
    <t>Verify imported student data is not duplicated on retry</t>
  </si>
  <si>
    <t>FR-DATA-001–004; EP-02</t>
  </si>
  <si>
    <t>Integration / Reliability</t>
  </si>
  <si>
    <t>A dataset has already been imported successfully.</t>
  </si>
  <si>
    <t>1. Import the same dataset again.
2. Review student record counts and import summary.</t>
  </si>
  <si>
    <t>Same dataset imported twice</t>
  </si>
  <si>
    <t>The system follows an agreed duplicate-handling rule and does not silently create unintended duplicate student records.</t>
  </si>
  <si>
    <t>Idempotency and duplicate-handling behaviour require confirmation.</t>
  </si>
  <si>
    <t>TC-017</t>
  </si>
  <si>
    <t>Course Management</t>
  </si>
  <si>
    <t>Allow authorised tutor to add course materials</t>
  </si>
  <si>
    <t>FR-COURSE-001–004; EP-03</t>
  </si>
  <si>
    <t>Tutor is signed in and assigned to the course.</t>
  </si>
  <si>
    <t>1. Open the assigned course.
2. Choose the add/upload material action.
3. Provide a valid file and title if required.
4. Save and verify the material listing.</t>
  </si>
  <si>
    <t>Course C-01; valid lecture material</t>
  </si>
  <si>
    <t>The material is associated with the intended course and appears to authorised users.</t>
  </si>
  <si>
    <t>TC-018</t>
  </si>
  <si>
    <t>Prevent unauthorised user from adding course materials</t>
  </si>
  <si>
    <t>FR-COURSE-001–004; FR-AUTH-005; EP-01, EP-03</t>
  </si>
  <si>
    <t>1. Sign in as a student.
2. Open a course page.
3. Attempt to access the material-management action or direct route.</t>
  </si>
  <si>
    <t>Student account; course material-management route</t>
  </si>
  <si>
    <t>The student cannot create or modify course materials.</t>
  </si>
  <si>
    <t>TC-019</t>
  </si>
  <si>
    <t>Display course materials to enrolled students</t>
  </si>
  <si>
    <t>A student is enrolled in a course with published materials.</t>
  </si>
  <si>
    <t>1. Sign in as the student.
2. Open the enrolled course.
3. Inspect the materials list and open/download a material.</t>
  </si>
  <si>
    <t>Enrolled student; published material</t>
  </si>
  <si>
    <t>The published material is listed and can be opened/downloaded as supported.</t>
  </si>
  <si>
    <t>TC-020</t>
  </si>
  <si>
    <t>Assignments</t>
  </si>
  <si>
    <t>Display assignment brief to an enrolled student</t>
  </si>
  <si>
    <t>FR-ASG-001–006; EP-03</t>
  </si>
  <si>
    <t>An assignment is published in a course in which the student is enrolled.</t>
  </si>
  <si>
    <t>1. Sign in as the student.
2. Open the course assignment area.
3. Open the assignment brief.</t>
  </si>
  <si>
    <t>Published assignment A-01</t>
  </si>
  <si>
    <t>The correct assignment title, brief and configured deadline are displayed.</t>
  </si>
  <si>
    <t>TC-021</t>
  </si>
  <si>
    <t>Submit an assignment using a valid file</t>
  </si>
  <si>
    <t>FR-ASG-001–006; PF-02; EP-03</t>
  </si>
  <si>
    <t>Student is enrolled and assignment is open for submission.</t>
  </si>
  <si>
    <t>1. Open the assignment.
2. Select the upload/submit action.
3. Choose a valid supported file.
4. Submit and inspect the resulting status.</t>
  </si>
  <si>
    <t>Assignment A-01; valid supported document</t>
  </si>
  <si>
    <t>The submission is accepted and the system displays a clear confirmation/status for the correct student and assignment.</t>
  </si>
  <si>
    <t>Supported file types and size limits are TBC.</t>
  </si>
  <si>
    <t>TC-022</t>
  </si>
  <si>
    <t>Prevent submission when a required file is not selected</t>
  </si>
  <si>
    <t>Assignment is open for submission.</t>
  </si>
  <si>
    <t>1. Open the submission form.
2. Do not select a file.
3. Select Submit.</t>
  </si>
  <si>
    <t>No file selected</t>
  </si>
  <si>
    <t>The submission is not created and the user receives clear validation feedback.</t>
  </si>
  <si>
    <t>TC-023</t>
  </si>
  <si>
    <t>Validate unsupported assignment file type</t>
  </si>
  <si>
    <t>Negative / File validation</t>
  </si>
  <si>
    <t>Assignment is open and upload validation is enabled.</t>
  </si>
  <si>
    <t>1. Choose a file with a type outside the approved allowlist.
2. Attempt to submit.</t>
  </si>
  <si>
    <t>Unsupported executable or unapproved file extension</t>
  </si>
  <si>
    <t>The unsupported file is rejected and no invalid submission is stored.</t>
  </si>
  <si>
    <t>Allowed file types must be agreed and configured.</t>
  </si>
  <si>
    <t>TC-024</t>
  </si>
  <si>
    <t>Validate assignment file size boundary</t>
  </si>
  <si>
    <t>Boundary / File validation</t>
  </si>
  <si>
    <t>Assignment upload is available and maximum file size is configured.</t>
  </si>
  <si>
    <t>1. Upload a file at the configured size limit.
2. Upload a file exceeding the configured limit.</t>
  </si>
  <si>
    <t>Files at limit and above limit</t>
  </si>
  <si>
    <t>A file within the limit is handled successfully; a file above the limit is rejected with a clear message.</t>
  </si>
  <si>
    <t>Maximum file size is TBC; execute after configuration is confirmed.</t>
  </si>
  <si>
    <t>TC-025</t>
  </si>
  <si>
    <t>Prevent or correctly handle submission after deadline</t>
  </si>
  <si>
    <t>FR-ASG-001–006; FR-SCHED-001–003; PF-02; EP-03, EP-04</t>
  </si>
  <si>
    <t>Boundary / Business rule</t>
  </si>
  <si>
    <t>Assignment has a configured deadline.</t>
  </si>
  <si>
    <t>1. Attempt submission before the deadline.
2. Attempt submission after the deadline.
3. Compare the system behaviour with the approved late-submission rule.</t>
  </si>
  <si>
    <t>One submission before deadline and one after</t>
  </si>
  <si>
    <t>Submission behaviour matches the agreed deadline and late-submission policy, with an accurate status.</t>
  </si>
  <si>
    <t>Late submission policy/time-zone handling are TBC; do not treat a specific outcome as approved.</t>
  </si>
  <si>
    <t>TC-026</t>
  </si>
  <si>
    <t>Allow tutor to access submissions for an assigned course</t>
  </si>
  <si>
    <t>FR-ASG-001–006; PF-06; EP-03</t>
  </si>
  <si>
    <t>Authorization / Functional</t>
  </si>
  <si>
    <t>Tutor is assigned to a course with a student submission.</t>
  </si>
  <si>
    <t>1. Sign in as tutor.
2. Open the assigned course's submissions.
3. Open or download a student submission.</t>
  </si>
  <si>
    <t>Tutor T-01; course C-01; submission S-01</t>
  </si>
  <si>
    <t>The tutor can access the submission within their authorised course scope.</t>
  </si>
  <si>
    <t>TC-027</t>
  </si>
  <si>
    <t>Prevent tutor access to submissions outside assigned scope</t>
  </si>
  <si>
    <t>FR-ASG-001–006; FR-AUTH-005; PF-06; EP-01, EP-03</t>
  </si>
  <si>
    <t>Tutor has no assignment to the target course.</t>
  </si>
  <si>
    <t>1. Sign in as tutor.
2. Attempt to open the target submission by navigating or using its direct URL.</t>
  </si>
  <si>
    <t>Tutor T-01; unassigned course C-02; submission S-99</t>
  </si>
  <si>
    <t>Access is denied and submission content or student data is not exposed.</t>
  </si>
  <si>
    <t>TC-028</t>
  </si>
  <si>
    <t>Schedule</t>
  </si>
  <si>
    <t>Create an assignment deadline</t>
  </si>
  <si>
    <t>FR-SCHED-001–003; EP-04</t>
  </si>
  <si>
    <t>Authorised tutor is signed in.</t>
  </si>
  <si>
    <t>1. Open assignment scheduling.
2. Enter a valid deadline.
3. Save and reopen the assignment.</t>
  </si>
  <si>
    <t>Future date/time in the agreed format</t>
  </si>
  <si>
    <t>The saved deadline is retained and shown consistently in the assignment details.</t>
  </si>
  <si>
    <t>TC-029</t>
  </si>
  <si>
    <t>Validate invalid or missing schedule date</t>
  </si>
  <si>
    <t>Authorised user is on the schedule form.</t>
  </si>
  <si>
    <t>1. Leave the required date blank or enter an invalid date.
2. Attempt to save.</t>
  </si>
  <si>
    <t>Blank date; invalid date string</t>
  </si>
  <si>
    <t>Invalid schedule data is not saved and clear validation feedback is displayed.</t>
  </si>
  <si>
    <t>TC-030</t>
  </si>
  <si>
    <t>Display exam dates to permitted users</t>
  </si>
  <si>
    <t>An exam date exists for a relevant course.</t>
  </si>
  <si>
    <t>1. Sign in as an authorised user.
2. Open the course schedule.
3. Locate the exam date.</t>
  </si>
  <si>
    <t>Course C-01 with configured exam date</t>
  </si>
  <si>
    <t>The correct exam date is displayed to users permitted to view the course schedule.</t>
  </si>
  <si>
    <t>TC-031</t>
  </si>
  <si>
    <t>Dashboard</t>
  </si>
  <si>
    <t>Display student performance dashboard</t>
  </si>
  <si>
    <t>FR-DASH-001–004; BR-012, BR-015; EP-05</t>
  </si>
  <si>
    <t>Functional / Data</t>
  </si>
  <si>
    <t>Student has available academic data and is signed in.</t>
  </si>
  <si>
    <t>1. Open the student dashboard.
2. Review displayed subject scores and performance indicators.
3. Compare displayed values with the source record.</t>
  </si>
  <si>
    <t>Student with known subject scores</t>
  </si>
  <si>
    <t>Dashboard values correspond to available source data and are labelled clearly.</t>
  </si>
  <si>
    <t>TC-032</t>
  </si>
  <si>
    <t>Display role-appropriate dashboard data</t>
  </si>
  <si>
    <t>FR-DASH-001–004; FR-AUTH-004–005; EP-01, EP-05</t>
  </si>
  <si>
    <t>Authorization / Data privacy</t>
  </si>
  <si>
    <t>Student, tutor and administrator test accounts exist.</t>
  </si>
  <si>
    <t>1. Sign in separately as each role.
2. Open the dashboard.
3. Compare the scope of visible student records and controls.</t>
  </si>
  <si>
    <t>Student; tutor with assigned students; administrator</t>
  </si>
  <si>
    <t>Each role sees only the dashboard information permitted by the approved role and scope rules.</t>
  </si>
  <si>
    <t>TC-033</t>
  </si>
  <si>
    <t>Handle unavailable academic data on dashboard</t>
  </si>
  <si>
    <t>FR-DASH-001–004; FR-DATA-001–004; EP-05, EP-08</t>
  </si>
  <si>
    <t>A student record has missing or unavailable academic data.</t>
  </si>
  <si>
    <t>1. Open the dashboard for that student.
2. Inspect affected metrics and page stability.</t>
  </si>
  <si>
    <t>Student record with one or more missing scores</t>
  </si>
  <si>
    <t>The dashboard does not invent values; missing/unavailable data is clearly represented and the page remains usable.</t>
  </si>
  <si>
    <t>TC-034</t>
  </si>
  <si>
    <t>Verify dashboard updates after source data changes</t>
  </si>
  <si>
    <t>FR-DASH-001–004; EP-02, EP-05</t>
  </si>
  <si>
    <t>Integration / Regression</t>
  </si>
  <si>
    <t>A student dashboard is available and source data can be updated.</t>
  </si>
  <si>
    <t>1. Record the current dashboard value.
2. Update the relevant academic data through the authorised process.
3. Refresh/reopen the dashboard and compare.</t>
  </si>
  <si>
    <t>Known score updated from one value to another</t>
  </si>
  <si>
    <t>The dashboard reflects the latest persisted data according to the agreed refresh/update behaviour.</t>
  </si>
  <si>
    <t>Refresh timing/cache policy is TBC.</t>
  </si>
  <si>
    <t>TC-035</t>
  </si>
  <si>
    <t>Risk Prediction</t>
  </si>
  <si>
    <t>Run prediction for an eligible student record</t>
  </si>
  <si>
    <t>FR-ML-001–006; PF-04; EP-06</t>
  </si>
  <si>
    <t>Functional / ML</t>
  </si>
  <si>
    <t>Configured model is available and student has all required prediction inputs.</t>
  </si>
  <si>
    <t>1. Select or trigger prediction for an eligible record using the supported workflow.
2. Wait for completion.
3. Inspect the result and associated student record.</t>
  </si>
  <si>
    <t>Complete valid record with agreed model input fields</t>
  </si>
  <si>
    <t>A prediction result is produced and linked to the correct student; the result is presented as an early-warning indicator.</t>
  </si>
  <si>
    <t>Prediction trigger and schedule are TBC.</t>
  </si>
  <si>
    <t>TC-036</t>
  </si>
  <si>
    <t>Do not run prediction when required inputs are missing</t>
  </si>
  <si>
    <t>FR-ML-001–006; FR-DATA-001–004; PF-04; EP-06, EP-08</t>
  </si>
  <si>
    <t>A student record lacks one or more required model inputs.</t>
  </si>
  <si>
    <t>1. Attempt to run prediction for the incomplete record.
2. Inspect the outcome and logs/status available to authorised users.</t>
  </si>
  <si>
    <t>Missing required attendance or self-study field</t>
  </si>
  <si>
    <t>The system follows the approved missing-input rule, avoids a misleading classification, and reports the issue clearly.</t>
  </si>
  <si>
    <t>Required inputs and missing-value strategy must be confirmed.</t>
  </si>
  <si>
    <t>TC-037</t>
  </si>
  <si>
    <t>Verify prediction uses configured model and eligible fields</t>
  </si>
  <si>
    <t>FR-ML-001–006; EP-06</t>
  </si>
  <si>
    <t>Data / Model integration</t>
  </si>
  <si>
    <t>The model configuration and test dataset are available.</t>
  </si>
  <si>
    <t>1. Run prediction on a controlled test record.
2. Verify the configured model version and eligible input fields are used.
3. Compare output with an approved reference result where available.</t>
  </si>
  <si>
    <t>Controlled test record; approved model version</t>
  </si>
  <si>
    <t>The configured model is invoked and output is consistent with the approved reference behaviour.</t>
  </si>
  <si>
    <t>Reference outputs/model versioning must be supplied by the ML owner.</t>
  </si>
  <si>
    <t>TC-038</t>
  </si>
  <si>
    <t>Handle prediction service failure</t>
  </si>
  <si>
    <t>FR-ML-001–006; PF-04; EP-06, EP-08</t>
  </si>
  <si>
    <t>Negative / Resilience</t>
  </si>
  <si>
    <t>Test environment can simulate model/service unavailability.</t>
  </si>
  <si>
    <t>1. Make the prediction service unavailable or simulate an error.
2. Trigger a prediction.
3. Inspect user feedback and stored result state.</t>
  </si>
  <si>
    <t>Simulated model service failure</t>
  </si>
  <si>
    <t>The failure is handled safely; no fabricated prediction is shown, and a clear status/error is available to authorised users.</t>
  </si>
  <si>
    <t>TC-039</t>
  </si>
  <si>
    <t>Avoid presenting risk prediction as a final academic decision</t>
  </si>
  <si>
    <t>FR-ML-001–006; BR-014, BR-015; PF-04; EP-06</t>
  </si>
  <si>
    <t>Content / Usability</t>
  </si>
  <si>
    <t>A prediction result is available.</t>
  </si>
  <si>
    <t>1. Open the risk result in the dashboard or detail view.
2. Inspect labels, explanatory text and available actions.</t>
  </si>
  <si>
    <t>At-risk prediction result</t>
  </si>
  <si>
    <t>The result is labelled as a prediction/early warning and is not worded as a definitive academic judgement.</t>
  </si>
  <si>
    <t>TC-040</t>
  </si>
  <si>
    <t>Check prediction result is associated with the correct student</t>
  </si>
  <si>
    <t>Data integrity</t>
  </si>
  <si>
    <t>Two or more student records and prediction outputs exist.</t>
  </si>
  <si>
    <t>1. Run or view predictions for two distinct students.
2. Compare each result's student identifier and displayed identity.</t>
  </si>
  <si>
    <t>Students S-01 and S-02 with distinct records</t>
  </si>
  <si>
    <t>Each prediction is linked to the correct student and no result is cross-associated.</t>
  </si>
  <si>
    <t>TC-041</t>
  </si>
  <si>
    <t>Verify model evaluation evidence is available for review</t>
  </si>
  <si>
    <t>FR-ML-001–006; FR-TEST-001–002; EP-06, EP-08</t>
  </si>
  <si>
    <t>ML quality / Review</t>
  </si>
  <si>
    <t>Evaluation outputs or approved model report are available.</t>
  </si>
  <si>
    <t>1. Open the approved model evaluation artefact or report.
2. Check that the configured evaluation metrics and test dataset/version are identified.</t>
  </si>
  <si>
    <t>Model evaluation report and test dataset metadata</t>
  </si>
  <si>
    <t>Evaluation evidence can be reviewed against the agreed metrics and acceptance thresholds.</t>
  </si>
  <si>
    <t>Metrics and minimum acceptance thresholds are TBC; this case cannot pass until approved.</t>
  </si>
  <si>
    <t>TC-042</t>
  </si>
  <si>
    <t>Notifications</t>
  </si>
  <si>
    <t>Create an in-app notification for an at-risk result</t>
  </si>
  <si>
    <t>FR-NOT-001–005; PF-05; EP-07</t>
  </si>
  <si>
    <t>Functional / Integration</t>
  </si>
  <si>
    <t>Prediction process returns a result meeting the configured notification rule.</t>
  </si>
  <si>
    <t>1. Trigger or prepare an eligible at-risk prediction.
2. Open the permitted notification view.
3. Verify the notification content and linked student/result.</t>
  </si>
  <si>
    <t>At-risk prediction meeting configured rule</t>
  </si>
  <si>
    <t>An in-app notification is made available to the configured authorised recipient(s) and references the correct result.</t>
  </si>
  <si>
    <t>Risk threshold, recipients and trigger are TBC.</t>
  </si>
  <si>
    <t>TC-043</t>
  </si>
  <si>
    <t>Do not notify when notification rule is not met</t>
  </si>
  <si>
    <t>Negative / Business rule</t>
  </si>
  <si>
    <t>A prediction result does not meet the configured notification rule.</t>
  </si>
  <si>
    <t>1. Create or select a result below the agreed notification threshold.
2. Inspect the relevant notification view.</t>
  </si>
  <si>
    <t>Prediction below configured threshold</t>
  </si>
  <si>
    <t>No notification is created when the approved rule is not met.</t>
  </si>
  <si>
    <t>Threshold and notification policy must be agreed before execution.</t>
  </si>
  <si>
    <t>TC-044</t>
  </si>
  <si>
    <t>Restrict risk notification visibility by role</t>
  </si>
  <si>
    <t>FR-NOT-001–005; FR-AUTH-005; PF-05; EP-01, EP-07</t>
  </si>
  <si>
    <t>Security / Privacy</t>
  </si>
  <si>
    <t>A risk notification exists and role-specific test accounts are available.</t>
  </si>
  <si>
    <t>1. Sign in as the intended student and inspect their notification.
2. Sign in as an authorised tutor and inspect within-scope alerts.
3. Sign in as an unrelated user and attempt to access the alert.</t>
  </si>
  <si>
    <t>Student S-01 alert; tutor assigned to S-01; unrelated user</t>
  </si>
  <si>
    <t>Only permitted recipients can access the alert and its student details.</t>
  </si>
  <si>
    <t>TC-045</t>
  </si>
  <si>
    <t>Prevent duplicate alerts for the same event when deduplication is configured</t>
  </si>
  <si>
    <t>Reliability / Business rule</t>
  </si>
  <si>
    <t>Notification deduplication policy is defined and enabled.</t>
  </si>
  <si>
    <t>1. Trigger the same eligible prediction event twice using the same event identifier.
2. Inspect the recipient's notification list.</t>
  </si>
  <si>
    <t>Repeated same event</t>
  </si>
  <si>
    <t>The system follows the approved deduplication rule and does not create unintended duplicate alerts.</t>
  </si>
  <si>
    <t>Deduplication policy is TBC.</t>
  </si>
  <si>
    <t>TC-046</t>
  </si>
  <si>
    <t>Handle notification delivery failure</t>
  </si>
  <si>
    <t>FR-NOT-001–005; PF-05; EP-07, EP-08</t>
  </si>
  <si>
    <t>Test environment can simulate notification component failure.</t>
  </si>
  <si>
    <t>1. Simulate notification failure.
2. Trigger an eligible risk event.
3. Inspect system status/logs and user-visible feedback where applicable.</t>
  </si>
  <si>
    <t>Simulated notification service error</t>
  </si>
  <si>
    <t>Failure is handled without corrupting the prediction record; retry/escalation behaviour follows the approved policy.</t>
  </si>
  <si>
    <t>Retry, escalation and failure visibility are TBC.</t>
  </si>
  <si>
    <t>TC-047</t>
  </si>
  <si>
    <t>Security &amp; Privacy</t>
  </si>
  <si>
    <t>Prevent access to another student's private record</t>
  </si>
  <si>
    <t>FR-AUTH-005; BR-019; EP-01, EP-08</t>
  </si>
  <si>
    <t>Student accounts S-01 and S-02 exist.</t>
  </si>
  <si>
    <t>1. Sign in as S-01.
2. Attempt to open S-02's record/dashboard using navigation or a direct URL.</t>
  </si>
  <si>
    <t>S-01 session; S-02 record URL</t>
  </si>
  <si>
    <t>S-01 cannot view S-02's restricted personal, academic or risk information.</t>
  </si>
  <si>
    <t>TC-048</t>
  </si>
  <si>
    <t>Error Handling</t>
  </si>
  <si>
    <t>Show a useful message when data save fails</t>
  </si>
  <si>
    <t>FR-TEST-001–002; EP-08</t>
  </si>
  <si>
    <t>A form is available and a save failure can be simulated.</t>
  </si>
  <si>
    <t>1. Enter valid data in an editable form.
2. Simulate a server/save error.
3. Select Save and inspect the response.</t>
  </si>
  <si>
    <t>Valid form data; simulated server error</t>
  </si>
  <si>
    <t>The user is informed that the save failed; unsaved data is not falsely shown as persisted.</t>
  </si>
  <si>
    <t>TC-049</t>
  </si>
  <si>
    <t>Usability</t>
  </si>
  <si>
    <t>Verify validation messages identify the field requiring correction</t>
  </si>
  <si>
    <t>FR-DATA-001–004; FR-TEST-001–002; EP-08</t>
  </si>
  <si>
    <t>Usability / Validation</t>
  </si>
  <si>
    <t>A form with field validation is available.</t>
  </si>
  <si>
    <t>1. Submit the form with an invalid value.
2. Review the validation message and affected field.</t>
  </si>
  <si>
    <t>Invalid required field or out-of-range value</t>
  </si>
  <si>
    <t>The message is understandable and the relevant field can be identified and corrected.</t>
  </si>
  <si>
    <t>Low</t>
  </si>
  <si>
    <t>TC-050</t>
  </si>
  <si>
    <t>Data Integrity</t>
  </si>
  <si>
    <t>Verify saved data persists after reopening a record</t>
  </si>
  <si>
    <t>Regression / Data integrity</t>
  </si>
  <si>
    <t>An authorised user can create or edit a record.</t>
  </si>
  <si>
    <t>1. Create or update a record with known values.
2. Save successfully.
3. Navigate away and reopen the record.</t>
  </si>
  <si>
    <t>Student record with known updated fields</t>
  </si>
  <si>
    <t>The saved values persist and match the values confirmed at save time.</t>
  </si>
  <si>
    <t>TC-051</t>
  </si>
  <si>
    <t>Compatibility</t>
  </si>
  <si>
    <t>Verify core LMS pages render in supported browsers</t>
  </si>
  <si>
    <t>BR-022; FR-TEST-001–002; EP-08</t>
  </si>
  <si>
    <t>Supported browser list and test environment are available.</t>
  </si>
  <si>
    <t>1. Open sign-in, dashboard, course, assignment and notification pages in each supported browser.
2. Check layout, core controls and key workflows.</t>
  </si>
  <si>
    <t>Approved browser/version matrix</t>
  </si>
  <si>
    <t>Core pages and workflows remain usable across the agreed supported browser matrix.</t>
  </si>
  <si>
    <t>Supported browser versions must be agreed.</t>
  </si>
  <si>
    <t>TC-052</t>
  </si>
  <si>
    <t>Accessibility / Usability</t>
  </si>
  <si>
    <t>Navigate core actions using keyboard only</t>
  </si>
  <si>
    <t>Usability / Accessibility</t>
  </si>
  <si>
    <t>Sign-in and core LMS pages are available.</t>
  </si>
  <si>
    <t>1. Use Tab/Shift+Tab to navigate controls.
2. Use keyboard activation for sign-in, course links and assignment actions.
3. Observe focus visibility and order.</t>
  </si>
  <si>
    <t>Keyboard-only interaction</t>
  </si>
  <si>
    <t>Core controls can be reached and activated with a logical focus order and visible focus indicator.</t>
  </si>
  <si>
    <t>Formal accessibility standard/target is TBC.</t>
  </si>
  <si>
    <t>TC-053</t>
  </si>
  <si>
    <t>Performance</t>
  </si>
  <si>
    <t>Verify dashboard responds within the agreed target</t>
  </si>
  <si>
    <t>Performance target and representative test data volume are agreed.</t>
  </si>
  <si>
    <t>1. Load the dashboard with representative data.
2. Measure response time across agreed repetitions.
3. Compare results with the approved target.</t>
  </si>
  <si>
    <t>Representative dataset and agreed performance target</t>
  </si>
  <si>
    <t>Dashboard response time meets the approved performance target.</t>
  </si>
  <si>
    <t>No numeric response-time target is defined in the source artefacts.</t>
  </si>
  <si>
    <t>TC-054</t>
  </si>
  <si>
    <t>Data Quality</t>
  </si>
  <si>
    <t>Verify dashboard and prediction do not use unvalidated records</t>
  </si>
  <si>
    <t>FR-DATA-001–004; FR-ML-001–006; EP-02, EP-06, EP-08</t>
  </si>
  <si>
    <t>Integration / Data quality</t>
  </si>
  <si>
    <t>An invalid record is available in a controlled test environment.</t>
  </si>
  <si>
    <t>1. Introduce a record that fails an agreed validation rule.
2. Refresh dashboard and attempt prediction.
3. Inspect how the invalid record is handled.</t>
  </si>
  <si>
    <t>Record containing invalid score or required input</t>
  </si>
  <si>
    <t>Invalid data is flagged and is not silently used for analytics or prediction contrary to the approved rules.</t>
  </si>
  <si>
    <t>TC-055</t>
  </si>
  <si>
    <t>Audit / Traceability</t>
  </si>
  <si>
    <t>Record an identifiable outcome for key test executions</t>
  </si>
  <si>
    <t>Test management / Evidence</t>
  </si>
  <si>
    <t>Test execution workbook or test management process is available.</t>
  </si>
  <si>
    <t>1. Execute a test case.
2. Record status, date, tester, actual result and defect reference if applicable.
3. Reopen the record.</t>
  </si>
  <si>
    <t>Completed test case</t>
  </si>
  <si>
    <t>Execution details can be reviewed and linked to the relevant requirement/defect.</t>
  </si>
  <si>
    <t>Audit logging within the application itself is a separate requirement to confirm.</t>
  </si>
  <si>
    <t>SMART LMS — TEST CASE SUMMARY</t>
  </si>
  <si>
    <t>Portfolio artefact</t>
  </si>
  <si>
    <t>Version 1.0 — Draft for review and validation</t>
  </si>
  <si>
    <t>Source basis</t>
  </si>
  <si>
    <t>Smart LMS BRD, FRD, epics/user stories/acceptance criteria, and process flows.</t>
  </si>
  <si>
    <t>Test cases</t>
  </si>
  <si>
    <t>Pass</t>
  </si>
  <si>
    <t>Fail</t>
  </si>
  <si>
    <t>Blocked</t>
  </si>
  <si>
    <t>Important usage notes</t>
  </si>
  <si>
    <t>1. These are proposed test cases derived from the portfolio BRD/FRD, backlog and process flows; they are not evidence of executed testing.</t>
  </si>
  <si>
    <t>2. Set Actual Result, Status, Executed By, Execution Date and Defect ID during execution.</t>
  </si>
  <si>
    <t>3. Items labelled TBC require stakeholder decisions before the related test can be conclusively passed.</t>
  </si>
  <si>
    <t>4. Validate requirement IDs against the controlled BRD/FRD versions before formal sign-off.</t>
  </si>
  <si>
    <t>5. Risk predictions are early-warning indicators, not final academic decisions.</t>
  </si>
  <si>
    <t>6. The source artefacts do not fully define file limits, late submission policy, ML thresholds, notification recipients/deduplication, privacy retention, browser matrix or numeric performance targets.</t>
  </si>
  <si>
    <t>Prepared for a Business Analyst / QA portfolio. Not an approved production test specification.</t>
  </si>
  <si>
    <t>Area</t>
  </si>
  <si>
    <t>Suggested Test Data / Setup</t>
  </si>
  <si>
    <t>Decision or Configuration Needed</t>
  </si>
  <si>
    <t>Users and roles</t>
  </si>
  <si>
    <t>Active student, tutor assigned to Course A, tutor not assigned to Course B, administrator, signed-out session</t>
  </si>
  <si>
    <t>Account lifecycle, lockout, session expiry and admin override permissions</t>
  </si>
  <si>
    <t>TBC</t>
  </si>
  <si>
    <t>Student data</t>
  </si>
  <si>
    <t>Unique IDs; valid and duplicate IDs; missing fields; valid and invalid scores; attendance and self-study values</t>
  </si>
  <si>
    <t>Required fields, score ranges, numeric bounds, import format, duplicate handling</t>
  </si>
  <si>
    <t>Course materials</t>
  </si>
  <si>
    <t>Published material, unpublished material if supported, valid and unsupported file types</t>
  </si>
  <si>
    <t>Allowed file types, maximum upload size, material visibility rules</t>
  </si>
  <si>
    <t>Open assignment, closed/overdue assignment, valid file, missing file, unsupported file, file at/over size limit</t>
  </si>
  <si>
    <t>Late submission policy, time zone, file allowlist and size limit</t>
  </si>
  <si>
    <t>Valid future date/time, invalid date, blank date, exam date</t>
  </si>
  <si>
    <t>Date format, time zone, deadline edit policy</t>
  </si>
  <si>
    <t>Student with complete scores; student with missing scores; tutor assigned students; unrelated student</t>
  </si>
  <si>
    <t>Dashboard refresh/cache behaviour and exact role data scope</t>
  </si>
  <si>
    <t>ML prediction</t>
  </si>
  <si>
    <t>Complete input record; missing input record; controlled reference examples; model unavailable</t>
  </si>
  <si>
    <t>Required features, model version, prediction trigger/frequency, threshold and acceptance metrics</t>
  </si>
  <si>
    <t>Eligible risk event, non-eligible event, repeated event, unavailable notification component</t>
  </si>
  <si>
    <t>Recipients, trigger rules, deduplication, retry/escalation, read/unread behaviour</t>
  </si>
  <si>
    <t>Non-functional</t>
  </si>
  <si>
    <t>Approved browser/version matrix; representative dataset; network/service failure setup</t>
  </si>
  <si>
    <t>Performance targets, availability/recovery targets, accessibility target, retention/privacy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</si>
</sst>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1"/>
      <color rgb="FF17365D"/>
      <name val="Calibri"/>
    </font>
    <font>
      <b/>
      <sz val="16"/>
      <color rgb="FFFFFFFF"/>
      <name val="Calibri"/>
    </font>
    <font>
      <b/>
      <sz val="12"/>
      <color rgb="FF17365D"/>
      <name val="Calibri"/>
    </font>
    <font>
      <b/>
      <sz val="11"/>
      <name val="Calibri"/>
    </font>
    <font>
      <i/>
      <sz val="9"/>
      <color rgb="FF66666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F8FC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9BD5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5" fillId="5" borderId="0" xfId="0" applyFont="1" applyFill="1"/>
    <xf numFmtId="0" fontId="0" fillId="0" borderId="0" xfId="0" applyAlignment="1">
      <alignment vertical="top" wrapText="1"/>
    </xf>
    <xf numFmtId="0" fontId="4" fillId="0" borderId="0" xfId="0" applyFont="1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0" fillId="0" borderId="0" xfId="0"/>
    <xf numFmtId="0" fontId="0" fillId="0" borderId="0" xfId="0" applyAlignment="1">
      <alignment vertical="top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3">
    <dxf>
      <fill>
        <patternFill patternType="solid">
          <fgColor rgb="FFFCE4D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martLMSTestData" displayName="SmartLMSTestData" ref="A1:D10">
  <autoFilter ref="A1:D10" xr:uid="{00000000-0009-0000-0100-000002000000}"/>
  <tableColumns count="4">
    <tableColumn id="1" xr3:uid="{00000000-0010-0000-0100-000001000000}" name="Area"/>
    <tableColumn id="2" xr3:uid="{00000000-0010-0000-0100-000002000000}" name="Suggested Test Data / Setup"/>
    <tableColumn id="3" xr3:uid="{00000000-0010-0000-0100-000003000000}" name="Decision or Configuration Needed"/>
    <tableColumn id="4" xr3:uid="{00000000-0010-0000-0100-000004000000}" name="Statu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42" customWidth="1"/>
    <col min="4" max="4" width="32" customWidth="1"/>
    <col min="5" max="5" width="24" customWidth="1"/>
    <col min="6" max="6" width="12" customWidth="1"/>
    <col min="7" max="7" width="42" customWidth="1"/>
    <col min="8" max="8" width="62" customWidth="1"/>
    <col min="9" max="9" width="36" customWidth="1"/>
    <col min="10" max="10" width="52" customWidth="1"/>
    <col min="11" max="11" width="40" customWidth="1"/>
    <col min="12" max="12" width="15" customWidth="1"/>
    <col min="13" max="13" width="14" customWidth="1"/>
    <col min="14" max="14" width="20" customWidth="1"/>
    <col min="15" max="15" width="16" customWidth="1"/>
    <col min="16" max="16" width="15" customWidth="1"/>
    <col min="17" max="17" width="48" customWidth="1"/>
  </cols>
  <sheetData>
    <row r="1" spans="1:17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82.05" customHeight="1" x14ac:dyDescent="0.3">
      <c r="A2" s="2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/>
      <c r="L2" s="4" t="s">
        <v>27</v>
      </c>
      <c r="M2" s="3" t="s">
        <v>22</v>
      </c>
      <c r="N2" s="3"/>
      <c r="O2" s="3"/>
      <c r="P2" s="3"/>
      <c r="Q2" s="3"/>
    </row>
    <row r="3" spans="1:17" ht="82.05" customHeight="1" x14ac:dyDescent="0.3">
      <c r="A3" s="5" t="s">
        <v>28</v>
      </c>
      <c r="B3" s="6" t="s">
        <v>18</v>
      </c>
      <c r="C3" s="6" t="s">
        <v>29</v>
      </c>
      <c r="D3" s="6" t="s">
        <v>20</v>
      </c>
      <c r="E3" s="6" t="s">
        <v>30</v>
      </c>
      <c r="F3" s="6" t="s">
        <v>22</v>
      </c>
      <c r="G3" s="6" t="s">
        <v>31</v>
      </c>
      <c r="H3" s="6" t="s">
        <v>32</v>
      </c>
      <c r="I3" s="6" t="s">
        <v>33</v>
      </c>
      <c r="J3" s="6" t="s">
        <v>34</v>
      </c>
      <c r="K3" s="6"/>
      <c r="L3" s="4" t="s">
        <v>27</v>
      </c>
      <c r="M3" s="6" t="s">
        <v>22</v>
      </c>
      <c r="N3" s="6"/>
      <c r="O3" s="6"/>
      <c r="P3" s="6"/>
      <c r="Q3" s="6"/>
    </row>
    <row r="4" spans="1:17" ht="82.05" customHeight="1" x14ac:dyDescent="0.3">
      <c r="A4" s="2" t="s">
        <v>35</v>
      </c>
      <c r="B4" s="3" t="s">
        <v>18</v>
      </c>
      <c r="C4" s="3" t="s">
        <v>36</v>
      </c>
      <c r="D4" s="3" t="s">
        <v>20</v>
      </c>
      <c r="E4" s="3" t="s">
        <v>30</v>
      </c>
      <c r="F4" s="3" t="s">
        <v>22</v>
      </c>
      <c r="G4" s="3" t="s">
        <v>37</v>
      </c>
      <c r="H4" s="3" t="s">
        <v>38</v>
      </c>
      <c r="I4" s="3" t="s">
        <v>39</v>
      </c>
      <c r="J4" s="3" t="s">
        <v>40</v>
      </c>
      <c r="K4" s="3"/>
      <c r="L4" s="4" t="s">
        <v>27</v>
      </c>
      <c r="M4" s="3" t="s">
        <v>22</v>
      </c>
      <c r="N4" s="3"/>
      <c r="O4" s="3"/>
      <c r="P4" s="3"/>
      <c r="Q4" s="3"/>
    </row>
    <row r="5" spans="1:17" ht="82.05" customHeight="1" x14ac:dyDescent="0.3">
      <c r="A5" s="5" t="s">
        <v>41</v>
      </c>
      <c r="B5" s="6" t="s">
        <v>18</v>
      </c>
      <c r="C5" s="6" t="s">
        <v>42</v>
      </c>
      <c r="D5" s="6" t="s">
        <v>43</v>
      </c>
      <c r="E5" s="6" t="s">
        <v>44</v>
      </c>
      <c r="F5" s="6" t="s">
        <v>22</v>
      </c>
      <c r="G5" s="6" t="s">
        <v>37</v>
      </c>
      <c r="H5" s="6" t="s">
        <v>45</v>
      </c>
      <c r="I5" s="6" t="s">
        <v>46</v>
      </c>
      <c r="J5" s="6" t="s">
        <v>47</v>
      </c>
      <c r="K5" s="6"/>
      <c r="L5" s="4" t="s">
        <v>27</v>
      </c>
      <c r="M5" s="6" t="s">
        <v>48</v>
      </c>
      <c r="N5" s="6"/>
      <c r="O5" s="6"/>
      <c r="P5" s="6"/>
      <c r="Q5" s="6"/>
    </row>
    <row r="6" spans="1:17" ht="82.05" customHeight="1" x14ac:dyDescent="0.3">
      <c r="A6" s="2" t="s">
        <v>49</v>
      </c>
      <c r="B6" s="3" t="s">
        <v>18</v>
      </c>
      <c r="C6" s="3" t="s">
        <v>50</v>
      </c>
      <c r="D6" s="3" t="s">
        <v>51</v>
      </c>
      <c r="E6" s="3" t="s">
        <v>52</v>
      </c>
      <c r="F6" s="3" t="s">
        <v>48</v>
      </c>
      <c r="G6" s="3" t="s">
        <v>53</v>
      </c>
      <c r="H6" s="3" t="s">
        <v>54</v>
      </c>
      <c r="I6" s="3" t="s">
        <v>55</v>
      </c>
      <c r="J6" s="3" t="s">
        <v>56</v>
      </c>
      <c r="K6" s="3"/>
      <c r="L6" s="4" t="s">
        <v>27</v>
      </c>
      <c r="M6" s="3" t="s">
        <v>22</v>
      </c>
      <c r="N6" s="3"/>
      <c r="O6" s="3"/>
      <c r="P6" s="3"/>
      <c r="Q6" s="3" t="s">
        <v>57</v>
      </c>
    </row>
    <row r="7" spans="1:17" ht="82.05" customHeight="1" x14ac:dyDescent="0.3">
      <c r="A7" s="5" t="s">
        <v>58</v>
      </c>
      <c r="B7" s="6" t="s">
        <v>59</v>
      </c>
      <c r="C7" s="6" t="s">
        <v>60</v>
      </c>
      <c r="D7" s="6" t="s">
        <v>61</v>
      </c>
      <c r="E7" s="6" t="s">
        <v>62</v>
      </c>
      <c r="F7" s="6" t="s">
        <v>22</v>
      </c>
      <c r="G7" s="6" t="s">
        <v>63</v>
      </c>
      <c r="H7" s="6" t="s">
        <v>64</v>
      </c>
      <c r="I7" s="6" t="s">
        <v>65</v>
      </c>
      <c r="J7" s="6" t="s">
        <v>66</v>
      </c>
      <c r="K7" s="6"/>
      <c r="L7" s="4" t="s">
        <v>27</v>
      </c>
      <c r="M7" s="6" t="s">
        <v>67</v>
      </c>
      <c r="N7" s="6"/>
      <c r="O7" s="6"/>
      <c r="P7" s="6"/>
      <c r="Q7" s="6"/>
    </row>
    <row r="8" spans="1:17" ht="82.05" customHeight="1" x14ac:dyDescent="0.3">
      <c r="A8" s="2" t="s">
        <v>68</v>
      </c>
      <c r="B8" s="3" t="s">
        <v>59</v>
      </c>
      <c r="C8" s="3" t="s">
        <v>69</v>
      </c>
      <c r="D8" s="3" t="s">
        <v>70</v>
      </c>
      <c r="E8" s="3" t="s">
        <v>71</v>
      </c>
      <c r="F8" s="3" t="s">
        <v>22</v>
      </c>
      <c r="G8" s="3" t="s">
        <v>72</v>
      </c>
      <c r="H8" s="3" t="s">
        <v>73</v>
      </c>
      <c r="I8" s="3" t="s">
        <v>74</v>
      </c>
      <c r="J8" s="3" t="s">
        <v>75</v>
      </c>
      <c r="K8" s="3"/>
      <c r="L8" s="4" t="s">
        <v>27</v>
      </c>
      <c r="M8" s="3" t="s">
        <v>67</v>
      </c>
      <c r="N8" s="3"/>
      <c r="O8" s="3"/>
      <c r="P8" s="3"/>
      <c r="Q8" s="3"/>
    </row>
    <row r="9" spans="1:17" ht="82.05" customHeight="1" x14ac:dyDescent="0.3">
      <c r="A9" s="5" t="s">
        <v>76</v>
      </c>
      <c r="B9" s="6" t="s">
        <v>59</v>
      </c>
      <c r="C9" s="6" t="s">
        <v>77</v>
      </c>
      <c r="D9" s="6" t="s">
        <v>78</v>
      </c>
      <c r="E9" s="6" t="s">
        <v>79</v>
      </c>
      <c r="F9" s="6" t="s">
        <v>22</v>
      </c>
      <c r="G9" s="6" t="s">
        <v>80</v>
      </c>
      <c r="H9" s="6" t="s">
        <v>81</v>
      </c>
      <c r="I9" s="6" t="s">
        <v>82</v>
      </c>
      <c r="J9" s="6" t="s">
        <v>83</v>
      </c>
      <c r="K9" s="6"/>
      <c r="L9" s="4" t="s">
        <v>27</v>
      </c>
      <c r="M9" s="6" t="s">
        <v>67</v>
      </c>
      <c r="N9" s="6"/>
      <c r="O9" s="6"/>
      <c r="P9" s="6"/>
      <c r="Q9" s="6"/>
    </row>
    <row r="10" spans="1:17" ht="82.05" customHeight="1" x14ac:dyDescent="0.3">
      <c r="A10" s="2" t="s">
        <v>84</v>
      </c>
      <c r="B10" s="3" t="s">
        <v>85</v>
      </c>
      <c r="C10" s="3" t="s">
        <v>86</v>
      </c>
      <c r="D10" s="3" t="s">
        <v>87</v>
      </c>
      <c r="E10" s="3" t="s">
        <v>21</v>
      </c>
      <c r="F10" s="3" t="s">
        <v>22</v>
      </c>
      <c r="G10" s="3" t="s">
        <v>88</v>
      </c>
      <c r="H10" s="3" t="s">
        <v>89</v>
      </c>
      <c r="I10" s="3" t="s">
        <v>90</v>
      </c>
      <c r="J10" s="3" t="s">
        <v>91</v>
      </c>
      <c r="K10" s="3"/>
      <c r="L10" s="4" t="s">
        <v>27</v>
      </c>
      <c r="M10" s="3" t="s">
        <v>22</v>
      </c>
      <c r="N10" s="3"/>
      <c r="O10" s="3"/>
      <c r="P10" s="3"/>
      <c r="Q10" s="3"/>
    </row>
    <row r="11" spans="1:17" ht="82.05" customHeight="1" x14ac:dyDescent="0.3">
      <c r="A11" s="5" t="s">
        <v>92</v>
      </c>
      <c r="B11" s="6" t="s">
        <v>85</v>
      </c>
      <c r="C11" s="6" t="s">
        <v>93</v>
      </c>
      <c r="D11" s="6" t="s">
        <v>87</v>
      </c>
      <c r="E11" s="6" t="s">
        <v>94</v>
      </c>
      <c r="F11" s="6" t="s">
        <v>22</v>
      </c>
      <c r="G11" s="6" t="s">
        <v>95</v>
      </c>
      <c r="H11" s="6" t="s">
        <v>96</v>
      </c>
      <c r="I11" s="6" t="s">
        <v>97</v>
      </c>
      <c r="J11" s="6" t="s">
        <v>98</v>
      </c>
      <c r="K11" s="6"/>
      <c r="L11" s="4" t="s">
        <v>27</v>
      </c>
      <c r="M11" s="6" t="s">
        <v>22</v>
      </c>
      <c r="N11" s="6"/>
      <c r="O11" s="6"/>
      <c r="P11" s="6"/>
      <c r="Q11" s="6" t="s">
        <v>99</v>
      </c>
    </row>
    <row r="12" spans="1:17" ht="82.05" customHeight="1" x14ac:dyDescent="0.3">
      <c r="A12" s="2" t="s">
        <v>100</v>
      </c>
      <c r="B12" s="3" t="s">
        <v>85</v>
      </c>
      <c r="C12" s="3" t="s">
        <v>101</v>
      </c>
      <c r="D12" s="3" t="s">
        <v>87</v>
      </c>
      <c r="E12" s="3" t="s">
        <v>44</v>
      </c>
      <c r="F12" s="3" t="s">
        <v>22</v>
      </c>
      <c r="G12" s="3" t="s">
        <v>102</v>
      </c>
      <c r="H12" s="3" t="s">
        <v>103</v>
      </c>
      <c r="I12" s="3" t="s">
        <v>104</v>
      </c>
      <c r="J12" s="3" t="s">
        <v>105</v>
      </c>
      <c r="K12" s="3"/>
      <c r="L12" s="4" t="s">
        <v>27</v>
      </c>
      <c r="M12" s="3" t="s">
        <v>48</v>
      </c>
      <c r="N12" s="3"/>
      <c r="O12" s="3"/>
      <c r="P12" s="3"/>
      <c r="Q12" s="3" t="s">
        <v>106</v>
      </c>
    </row>
    <row r="13" spans="1:17" ht="82.05" customHeight="1" x14ac:dyDescent="0.3">
      <c r="A13" s="5" t="s">
        <v>107</v>
      </c>
      <c r="B13" s="6" t="s">
        <v>85</v>
      </c>
      <c r="C13" s="6" t="s">
        <v>108</v>
      </c>
      <c r="D13" s="6" t="s">
        <v>109</v>
      </c>
      <c r="E13" s="6" t="s">
        <v>110</v>
      </c>
      <c r="F13" s="6" t="s">
        <v>22</v>
      </c>
      <c r="G13" s="6" t="s">
        <v>111</v>
      </c>
      <c r="H13" s="6" t="s">
        <v>112</v>
      </c>
      <c r="I13" s="6" t="s">
        <v>113</v>
      </c>
      <c r="J13" s="6" t="s">
        <v>114</v>
      </c>
      <c r="K13" s="6"/>
      <c r="L13" s="4" t="s">
        <v>27</v>
      </c>
      <c r="M13" s="6" t="s">
        <v>22</v>
      </c>
      <c r="N13" s="6"/>
      <c r="O13" s="6"/>
      <c r="P13" s="6"/>
      <c r="Q13" s="6" t="s">
        <v>115</v>
      </c>
    </row>
    <row r="14" spans="1:17" ht="82.05" customHeight="1" x14ac:dyDescent="0.3">
      <c r="A14" s="2" t="s">
        <v>116</v>
      </c>
      <c r="B14" s="3" t="s">
        <v>85</v>
      </c>
      <c r="C14" s="3" t="s">
        <v>117</v>
      </c>
      <c r="D14" s="3" t="s">
        <v>109</v>
      </c>
      <c r="E14" s="3" t="s">
        <v>44</v>
      </c>
      <c r="F14" s="3" t="s">
        <v>48</v>
      </c>
      <c r="G14" s="3" t="s">
        <v>118</v>
      </c>
      <c r="H14" s="3" t="s">
        <v>119</v>
      </c>
      <c r="I14" s="3" t="s">
        <v>120</v>
      </c>
      <c r="J14" s="3" t="s">
        <v>121</v>
      </c>
      <c r="K14" s="3"/>
      <c r="L14" s="4" t="s">
        <v>27</v>
      </c>
      <c r="M14" s="3" t="s">
        <v>22</v>
      </c>
      <c r="N14" s="3"/>
      <c r="O14" s="3"/>
      <c r="P14" s="3"/>
      <c r="Q14" s="3" t="s">
        <v>122</v>
      </c>
    </row>
    <row r="15" spans="1:17" ht="82.05" customHeight="1" x14ac:dyDescent="0.3">
      <c r="A15" s="5" t="s">
        <v>123</v>
      </c>
      <c r="B15" s="6" t="s">
        <v>85</v>
      </c>
      <c r="C15" s="6" t="s">
        <v>124</v>
      </c>
      <c r="D15" s="6" t="s">
        <v>125</v>
      </c>
      <c r="E15" s="6" t="s">
        <v>126</v>
      </c>
      <c r="F15" s="6" t="s">
        <v>22</v>
      </c>
      <c r="G15" s="6" t="s">
        <v>127</v>
      </c>
      <c r="H15" s="6" t="s">
        <v>128</v>
      </c>
      <c r="I15" s="6" t="s">
        <v>129</v>
      </c>
      <c r="J15" s="6" t="s">
        <v>130</v>
      </c>
      <c r="K15" s="6"/>
      <c r="L15" s="4" t="s">
        <v>27</v>
      </c>
      <c r="M15" s="6" t="s">
        <v>22</v>
      </c>
      <c r="N15" s="6"/>
      <c r="O15" s="6"/>
      <c r="P15" s="6"/>
      <c r="Q15" s="6" t="s">
        <v>131</v>
      </c>
    </row>
    <row r="16" spans="1:17" ht="82.05" customHeight="1" x14ac:dyDescent="0.3">
      <c r="A16" s="2" t="s">
        <v>132</v>
      </c>
      <c r="B16" s="3" t="s">
        <v>85</v>
      </c>
      <c r="C16" s="3" t="s">
        <v>133</v>
      </c>
      <c r="D16" s="3" t="s">
        <v>134</v>
      </c>
      <c r="E16" s="3" t="s">
        <v>135</v>
      </c>
      <c r="F16" s="3" t="s">
        <v>22</v>
      </c>
      <c r="G16" s="3" t="s">
        <v>136</v>
      </c>
      <c r="H16" s="3" t="s">
        <v>137</v>
      </c>
      <c r="I16" s="3" t="s">
        <v>138</v>
      </c>
      <c r="J16" s="3" t="s">
        <v>139</v>
      </c>
      <c r="K16" s="3"/>
      <c r="L16" s="4" t="s">
        <v>27</v>
      </c>
      <c r="M16" s="3" t="s">
        <v>22</v>
      </c>
      <c r="N16" s="3"/>
      <c r="O16" s="3"/>
      <c r="P16" s="3"/>
      <c r="Q16" s="3" t="s">
        <v>140</v>
      </c>
    </row>
    <row r="17" spans="1:17" ht="82.05" customHeight="1" x14ac:dyDescent="0.3">
      <c r="A17" s="5" t="s">
        <v>141</v>
      </c>
      <c r="B17" s="6" t="s">
        <v>85</v>
      </c>
      <c r="C17" s="6" t="s">
        <v>142</v>
      </c>
      <c r="D17" s="6" t="s">
        <v>143</v>
      </c>
      <c r="E17" s="6" t="s">
        <v>144</v>
      </c>
      <c r="F17" s="6" t="s">
        <v>48</v>
      </c>
      <c r="G17" s="6" t="s">
        <v>145</v>
      </c>
      <c r="H17" s="6" t="s">
        <v>146</v>
      </c>
      <c r="I17" s="6" t="s">
        <v>147</v>
      </c>
      <c r="J17" s="6" t="s">
        <v>148</v>
      </c>
      <c r="K17" s="6"/>
      <c r="L17" s="4" t="s">
        <v>27</v>
      </c>
      <c r="M17" s="6" t="s">
        <v>22</v>
      </c>
      <c r="N17" s="6"/>
      <c r="O17" s="6"/>
      <c r="P17" s="6"/>
      <c r="Q17" s="6" t="s">
        <v>149</v>
      </c>
    </row>
    <row r="18" spans="1:17" ht="82.05" customHeight="1" x14ac:dyDescent="0.3">
      <c r="A18" s="2" t="s">
        <v>150</v>
      </c>
      <c r="B18" s="3" t="s">
        <v>151</v>
      </c>
      <c r="C18" s="3" t="s">
        <v>152</v>
      </c>
      <c r="D18" s="3" t="s">
        <v>153</v>
      </c>
      <c r="E18" s="3" t="s">
        <v>52</v>
      </c>
      <c r="F18" s="3" t="s">
        <v>22</v>
      </c>
      <c r="G18" s="3" t="s">
        <v>154</v>
      </c>
      <c r="H18" s="3" t="s">
        <v>155</v>
      </c>
      <c r="I18" s="3" t="s">
        <v>156</v>
      </c>
      <c r="J18" s="3" t="s">
        <v>157</v>
      </c>
      <c r="K18" s="3"/>
      <c r="L18" s="4" t="s">
        <v>27</v>
      </c>
      <c r="M18" s="3" t="s">
        <v>22</v>
      </c>
      <c r="N18" s="3"/>
      <c r="O18" s="3"/>
      <c r="P18" s="3"/>
      <c r="Q18" s="3"/>
    </row>
    <row r="19" spans="1:17" ht="82.05" customHeight="1" x14ac:dyDescent="0.3">
      <c r="A19" s="5" t="s">
        <v>158</v>
      </c>
      <c r="B19" s="6" t="s">
        <v>151</v>
      </c>
      <c r="C19" s="6" t="s">
        <v>159</v>
      </c>
      <c r="D19" s="6" t="s">
        <v>160</v>
      </c>
      <c r="E19" s="6" t="s">
        <v>71</v>
      </c>
      <c r="F19" s="6" t="s">
        <v>22</v>
      </c>
      <c r="G19" s="6" t="s">
        <v>63</v>
      </c>
      <c r="H19" s="6" t="s">
        <v>161</v>
      </c>
      <c r="I19" s="6" t="s">
        <v>162</v>
      </c>
      <c r="J19" s="6" t="s">
        <v>163</v>
      </c>
      <c r="K19" s="6"/>
      <c r="L19" s="4" t="s">
        <v>27</v>
      </c>
      <c r="M19" s="6" t="s">
        <v>67</v>
      </c>
      <c r="N19" s="6"/>
      <c r="O19" s="6"/>
      <c r="P19" s="6"/>
      <c r="Q19" s="6"/>
    </row>
    <row r="20" spans="1:17" ht="82.05" customHeight="1" x14ac:dyDescent="0.3">
      <c r="A20" s="2" t="s">
        <v>164</v>
      </c>
      <c r="B20" s="3" t="s">
        <v>151</v>
      </c>
      <c r="C20" s="3" t="s">
        <v>165</v>
      </c>
      <c r="D20" s="3" t="s">
        <v>153</v>
      </c>
      <c r="E20" s="3" t="s">
        <v>52</v>
      </c>
      <c r="F20" s="3" t="s">
        <v>48</v>
      </c>
      <c r="G20" s="3" t="s">
        <v>166</v>
      </c>
      <c r="H20" s="3" t="s">
        <v>167</v>
      </c>
      <c r="I20" s="3" t="s">
        <v>168</v>
      </c>
      <c r="J20" s="3" t="s">
        <v>169</v>
      </c>
      <c r="K20" s="3"/>
      <c r="L20" s="4" t="s">
        <v>27</v>
      </c>
      <c r="M20" s="3" t="s">
        <v>48</v>
      </c>
      <c r="N20" s="3"/>
      <c r="O20" s="3"/>
      <c r="P20" s="3"/>
      <c r="Q20" s="3"/>
    </row>
    <row r="21" spans="1:17" ht="82.05" customHeight="1" x14ac:dyDescent="0.3">
      <c r="A21" s="5" t="s">
        <v>170</v>
      </c>
      <c r="B21" s="6" t="s">
        <v>171</v>
      </c>
      <c r="C21" s="6" t="s">
        <v>172</v>
      </c>
      <c r="D21" s="6" t="s">
        <v>173</v>
      </c>
      <c r="E21" s="6" t="s">
        <v>52</v>
      </c>
      <c r="F21" s="6" t="s">
        <v>22</v>
      </c>
      <c r="G21" s="6" t="s">
        <v>174</v>
      </c>
      <c r="H21" s="6" t="s">
        <v>175</v>
      </c>
      <c r="I21" s="6" t="s">
        <v>176</v>
      </c>
      <c r="J21" s="6" t="s">
        <v>177</v>
      </c>
      <c r="K21" s="6"/>
      <c r="L21" s="4" t="s">
        <v>27</v>
      </c>
      <c r="M21" s="6" t="s">
        <v>48</v>
      </c>
      <c r="N21" s="6"/>
      <c r="O21" s="6"/>
      <c r="P21" s="6"/>
      <c r="Q21" s="6"/>
    </row>
    <row r="22" spans="1:17" ht="82.05" customHeight="1" x14ac:dyDescent="0.3">
      <c r="A22" s="2" t="s">
        <v>178</v>
      </c>
      <c r="B22" s="3" t="s">
        <v>171</v>
      </c>
      <c r="C22" s="3" t="s">
        <v>179</v>
      </c>
      <c r="D22" s="3" t="s">
        <v>180</v>
      </c>
      <c r="E22" s="3" t="s">
        <v>21</v>
      </c>
      <c r="F22" s="3" t="s">
        <v>22</v>
      </c>
      <c r="G22" s="3" t="s">
        <v>181</v>
      </c>
      <c r="H22" s="3" t="s">
        <v>182</v>
      </c>
      <c r="I22" s="3" t="s">
        <v>183</v>
      </c>
      <c r="J22" s="3" t="s">
        <v>184</v>
      </c>
      <c r="K22" s="3"/>
      <c r="L22" s="4" t="s">
        <v>27</v>
      </c>
      <c r="M22" s="3" t="s">
        <v>22</v>
      </c>
      <c r="N22" s="3"/>
      <c r="O22" s="3"/>
      <c r="P22" s="3"/>
      <c r="Q22" s="3" t="s">
        <v>185</v>
      </c>
    </row>
    <row r="23" spans="1:17" ht="82.05" customHeight="1" x14ac:dyDescent="0.3">
      <c r="A23" s="5" t="s">
        <v>186</v>
      </c>
      <c r="B23" s="6" t="s">
        <v>171</v>
      </c>
      <c r="C23" s="6" t="s">
        <v>187</v>
      </c>
      <c r="D23" s="6" t="s">
        <v>180</v>
      </c>
      <c r="E23" s="6" t="s">
        <v>94</v>
      </c>
      <c r="F23" s="6" t="s">
        <v>48</v>
      </c>
      <c r="G23" s="6" t="s">
        <v>188</v>
      </c>
      <c r="H23" s="6" t="s">
        <v>189</v>
      </c>
      <c r="I23" s="6" t="s">
        <v>190</v>
      </c>
      <c r="J23" s="6" t="s">
        <v>191</v>
      </c>
      <c r="K23" s="6"/>
      <c r="L23" s="4" t="s">
        <v>27</v>
      </c>
      <c r="M23" s="6" t="s">
        <v>48</v>
      </c>
      <c r="N23" s="6"/>
      <c r="O23" s="6"/>
      <c r="P23" s="6"/>
      <c r="Q23" s="6"/>
    </row>
    <row r="24" spans="1:17" ht="82.05" customHeight="1" x14ac:dyDescent="0.3">
      <c r="A24" s="2" t="s">
        <v>192</v>
      </c>
      <c r="B24" s="3" t="s">
        <v>171</v>
      </c>
      <c r="C24" s="3" t="s">
        <v>193</v>
      </c>
      <c r="D24" s="3" t="s">
        <v>180</v>
      </c>
      <c r="E24" s="3" t="s">
        <v>194</v>
      </c>
      <c r="F24" s="3" t="s">
        <v>22</v>
      </c>
      <c r="G24" s="3" t="s">
        <v>195</v>
      </c>
      <c r="H24" s="3" t="s">
        <v>196</v>
      </c>
      <c r="I24" s="3" t="s">
        <v>197</v>
      </c>
      <c r="J24" s="3" t="s">
        <v>198</v>
      </c>
      <c r="K24" s="3"/>
      <c r="L24" s="4" t="s">
        <v>27</v>
      </c>
      <c r="M24" s="3" t="s">
        <v>22</v>
      </c>
      <c r="N24" s="3"/>
      <c r="O24" s="3"/>
      <c r="P24" s="3"/>
      <c r="Q24" s="3" t="s">
        <v>199</v>
      </c>
    </row>
    <row r="25" spans="1:17" ht="82.05" customHeight="1" x14ac:dyDescent="0.3">
      <c r="A25" s="5" t="s">
        <v>200</v>
      </c>
      <c r="B25" s="6" t="s">
        <v>171</v>
      </c>
      <c r="C25" s="6" t="s">
        <v>201</v>
      </c>
      <c r="D25" s="6" t="s">
        <v>180</v>
      </c>
      <c r="E25" s="6" t="s">
        <v>202</v>
      </c>
      <c r="F25" s="6" t="s">
        <v>48</v>
      </c>
      <c r="G25" s="6" t="s">
        <v>203</v>
      </c>
      <c r="H25" s="6" t="s">
        <v>204</v>
      </c>
      <c r="I25" s="6" t="s">
        <v>205</v>
      </c>
      <c r="J25" s="6" t="s">
        <v>206</v>
      </c>
      <c r="K25" s="6"/>
      <c r="L25" s="4" t="s">
        <v>27</v>
      </c>
      <c r="M25" s="6" t="s">
        <v>48</v>
      </c>
      <c r="N25" s="6"/>
      <c r="O25" s="6"/>
      <c r="P25" s="6"/>
      <c r="Q25" s="6" t="s">
        <v>207</v>
      </c>
    </row>
    <row r="26" spans="1:17" ht="82.05" customHeight="1" x14ac:dyDescent="0.3">
      <c r="A26" s="2" t="s">
        <v>208</v>
      </c>
      <c r="B26" s="3" t="s">
        <v>171</v>
      </c>
      <c r="C26" s="3" t="s">
        <v>209</v>
      </c>
      <c r="D26" s="3" t="s">
        <v>210</v>
      </c>
      <c r="E26" s="3" t="s">
        <v>211</v>
      </c>
      <c r="F26" s="3" t="s">
        <v>22</v>
      </c>
      <c r="G26" s="3" t="s">
        <v>212</v>
      </c>
      <c r="H26" s="3" t="s">
        <v>213</v>
      </c>
      <c r="I26" s="3" t="s">
        <v>214</v>
      </c>
      <c r="J26" s="3" t="s">
        <v>215</v>
      </c>
      <c r="K26" s="3"/>
      <c r="L26" s="4" t="s">
        <v>27</v>
      </c>
      <c r="M26" s="3" t="s">
        <v>22</v>
      </c>
      <c r="N26" s="3"/>
      <c r="O26" s="3"/>
      <c r="P26" s="3"/>
      <c r="Q26" s="3" t="s">
        <v>216</v>
      </c>
    </row>
    <row r="27" spans="1:17" ht="82.05" customHeight="1" x14ac:dyDescent="0.3">
      <c r="A27" s="5" t="s">
        <v>217</v>
      </c>
      <c r="B27" s="6" t="s">
        <v>171</v>
      </c>
      <c r="C27" s="6" t="s">
        <v>218</v>
      </c>
      <c r="D27" s="6" t="s">
        <v>219</v>
      </c>
      <c r="E27" s="6" t="s">
        <v>220</v>
      </c>
      <c r="F27" s="6" t="s">
        <v>22</v>
      </c>
      <c r="G27" s="6" t="s">
        <v>221</v>
      </c>
      <c r="H27" s="6" t="s">
        <v>222</v>
      </c>
      <c r="I27" s="6" t="s">
        <v>223</v>
      </c>
      <c r="J27" s="6" t="s">
        <v>224</v>
      </c>
      <c r="K27" s="6"/>
      <c r="L27" s="4" t="s">
        <v>27</v>
      </c>
      <c r="M27" s="6" t="s">
        <v>22</v>
      </c>
      <c r="N27" s="6"/>
      <c r="O27" s="6"/>
      <c r="P27" s="6"/>
      <c r="Q27" s="6"/>
    </row>
    <row r="28" spans="1:17" ht="82.05" customHeight="1" x14ac:dyDescent="0.3">
      <c r="A28" s="2" t="s">
        <v>225</v>
      </c>
      <c r="B28" s="3" t="s">
        <v>171</v>
      </c>
      <c r="C28" s="3" t="s">
        <v>226</v>
      </c>
      <c r="D28" s="3" t="s">
        <v>227</v>
      </c>
      <c r="E28" s="3" t="s">
        <v>71</v>
      </c>
      <c r="F28" s="3" t="s">
        <v>67</v>
      </c>
      <c r="G28" s="3" t="s">
        <v>228</v>
      </c>
      <c r="H28" s="3" t="s">
        <v>229</v>
      </c>
      <c r="I28" s="3" t="s">
        <v>230</v>
      </c>
      <c r="J28" s="3" t="s">
        <v>231</v>
      </c>
      <c r="K28" s="3"/>
      <c r="L28" s="4" t="s">
        <v>27</v>
      </c>
      <c r="M28" s="3" t="s">
        <v>67</v>
      </c>
      <c r="N28" s="3"/>
      <c r="O28" s="3"/>
      <c r="P28" s="3"/>
      <c r="Q28" s="3"/>
    </row>
    <row r="29" spans="1:17" ht="82.05" customHeight="1" x14ac:dyDescent="0.3">
      <c r="A29" s="5" t="s">
        <v>232</v>
      </c>
      <c r="B29" s="6" t="s">
        <v>233</v>
      </c>
      <c r="C29" s="6" t="s">
        <v>234</v>
      </c>
      <c r="D29" s="6" t="s">
        <v>235</v>
      </c>
      <c r="E29" s="6" t="s">
        <v>52</v>
      </c>
      <c r="F29" s="6" t="s">
        <v>48</v>
      </c>
      <c r="G29" s="6" t="s">
        <v>236</v>
      </c>
      <c r="H29" s="6" t="s">
        <v>237</v>
      </c>
      <c r="I29" s="6" t="s">
        <v>238</v>
      </c>
      <c r="J29" s="6" t="s">
        <v>239</v>
      </c>
      <c r="K29" s="6"/>
      <c r="L29" s="4" t="s">
        <v>27</v>
      </c>
      <c r="M29" s="6" t="s">
        <v>48</v>
      </c>
      <c r="N29" s="6"/>
      <c r="O29" s="6"/>
      <c r="P29" s="6"/>
      <c r="Q29" s="6"/>
    </row>
    <row r="30" spans="1:17" ht="82.05" customHeight="1" x14ac:dyDescent="0.3">
      <c r="A30" s="2" t="s">
        <v>240</v>
      </c>
      <c r="B30" s="3" t="s">
        <v>233</v>
      </c>
      <c r="C30" s="3" t="s">
        <v>241</v>
      </c>
      <c r="D30" s="3" t="s">
        <v>235</v>
      </c>
      <c r="E30" s="3" t="s">
        <v>44</v>
      </c>
      <c r="F30" s="3" t="s">
        <v>48</v>
      </c>
      <c r="G30" s="3" t="s">
        <v>242</v>
      </c>
      <c r="H30" s="3" t="s">
        <v>243</v>
      </c>
      <c r="I30" s="3" t="s">
        <v>244</v>
      </c>
      <c r="J30" s="3" t="s">
        <v>245</v>
      </c>
      <c r="K30" s="3"/>
      <c r="L30" s="4" t="s">
        <v>27</v>
      </c>
      <c r="M30" s="3" t="s">
        <v>48</v>
      </c>
      <c r="N30" s="3"/>
      <c r="O30" s="3"/>
      <c r="P30" s="3"/>
      <c r="Q30" s="3"/>
    </row>
    <row r="31" spans="1:17" ht="82.05" customHeight="1" x14ac:dyDescent="0.3">
      <c r="A31" s="5" t="s">
        <v>246</v>
      </c>
      <c r="B31" s="6" t="s">
        <v>233</v>
      </c>
      <c r="C31" s="6" t="s">
        <v>247</v>
      </c>
      <c r="D31" s="6" t="s">
        <v>235</v>
      </c>
      <c r="E31" s="6" t="s">
        <v>52</v>
      </c>
      <c r="F31" s="6" t="s">
        <v>48</v>
      </c>
      <c r="G31" s="6" t="s">
        <v>248</v>
      </c>
      <c r="H31" s="6" t="s">
        <v>249</v>
      </c>
      <c r="I31" s="6" t="s">
        <v>250</v>
      </c>
      <c r="J31" s="6" t="s">
        <v>251</v>
      </c>
      <c r="K31" s="6"/>
      <c r="L31" s="4" t="s">
        <v>27</v>
      </c>
      <c r="M31" s="6" t="s">
        <v>48</v>
      </c>
      <c r="N31" s="6"/>
      <c r="O31" s="6"/>
      <c r="P31" s="6"/>
      <c r="Q31" s="6"/>
    </row>
    <row r="32" spans="1:17" ht="82.05" customHeight="1" x14ac:dyDescent="0.3">
      <c r="A32" s="2" t="s">
        <v>252</v>
      </c>
      <c r="B32" s="3" t="s">
        <v>253</v>
      </c>
      <c r="C32" s="3" t="s">
        <v>254</v>
      </c>
      <c r="D32" s="3" t="s">
        <v>255</v>
      </c>
      <c r="E32" s="3" t="s">
        <v>256</v>
      </c>
      <c r="F32" s="3" t="s">
        <v>22</v>
      </c>
      <c r="G32" s="3" t="s">
        <v>257</v>
      </c>
      <c r="H32" s="3" t="s">
        <v>258</v>
      </c>
      <c r="I32" s="3" t="s">
        <v>259</v>
      </c>
      <c r="J32" s="3" t="s">
        <v>260</v>
      </c>
      <c r="K32" s="3"/>
      <c r="L32" s="4" t="s">
        <v>27</v>
      </c>
      <c r="M32" s="3" t="s">
        <v>22</v>
      </c>
      <c r="N32" s="3"/>
      <c r="O32" s="3"/>
      <c r="P32" s="3"/>
      <c r="Q32" s="3"/>
    </row>
    <row r="33" spans="1:17" ht="82.05" customHeight="1" x14ac:dyDescent="0.3">
      <c r="A33" s="5" t="s">
        <v>261</v>
      </c>
      <c r="B33" s="6" t="s">
        <v>253</v>
      </c>
      <c r="C33" s="6" t="s">
        <v>262</v>
      </c>
      <c r="D33" s="6" t="s">
        <v>263</v>
      </c>
      <c r="E33" s="6" t="s">
        <v>264</v>
      </c>
      <c r="F33" s="6" t="s">
        <v>22</v>
      </c>
      <c r="G33" s="6" t="s">
        <v>265</v>
      </c>
      <c r="H33" s="6" t="s">
        <v>266</v>
      </c>
      <c r="I33" s="6" t="s">
        <v>267</v>
      </c>
      <c r="J33" s="6" t="s">
        <v>268</v>
      </c>
      <c r="K33" s="6"/>
      <c r="L33" s="4" t="s">
        <v>27</v>
      </c>
      <c r="M33" s="6" t="s">
        <v>67</v>
      </c>
      <c r="N33" s="6"/>
      <c r="O33" s="6"/>
      <c r="P33" s="6"/>
      <c r="Q33" s="6"/>
    </row>
    <row r="34" spans="1:17" ht="82.05" customHeight="1" x14ac:dyDescent="0.3">
      <c r="A34" s="2" t="s">
        <v>269</v>
      </c>
      <c r="B34" s="3" t="s">
        <v>253</v>
      </c>
      <c r="C34" s="3" t="s">
        <v>270</v>
      </c>
      <c r="D34" s="3" t="s">
        <v>271</v>
      </c>
      <c r="E34" s="3" t="s">
        <v>135</v>
      </c>
      <c r="F34" s="3" t="s">
        <v>48</v>
      </c>
      <c r="G34" s="3" t="s">
        <v>272</v>
      </c>
      <c r="H34" s="3" t="s">
        <v>273</v>
      </c>
      <c r="I34" s="3" t="s">
        <v>274</v>
      </c>
      <c r="J34" s="3" t="s">
        <v>275</v>
      </c>
      <c r="K34" s="3"/>
      <c r="L34" s="4" t="s">
        <v>27</v>
      </c>
      <c r="M34" s="3" t="s">
        <v>22</v>
      </c>
      <c r="N34" s="3"/>
      <c r="O34" s="3"/>
      <c r="P34" s="3"/>
      <c r="Q34" s="3"/>
    </row>
    <row r="35" spans="1:17" ht="82.05" customHeight="1" x14ac:dyDescent="0.3">
      <c r="A35" s="5" t="s">
        <v>276</v>
      </c>
      <c r="B35" s="6" t="s">
        <v>253</v>
      </c>
      <c r="C35" s="6" t="s">
        <v>277</v>
      </c>
      <c r="D35" s="6" t="s">
        <v>278</v>
      </c>
      <c r="E35" s="6" t="s">
        <v>279</v>
      </c>
      <c r="F35" s="6" t="s">
        <v>48</v>
      </c>
      <c r="G35" s="6" t="s">
        <v>280</v>
      </c>
      <c r="H35" s="6" t="s">
        <v>281</v>
      </c>
      <c r="I35" s="6" t="s">
        <v>282</v>
      </c>
      <c r="J35" s="6" t="s">
        <v>283</v>
      </c>
      <c r="K35" s="6"/>
      <c r="L35" s="4" t="s">
        <v>27</v>
      </c>
      <c r="M35" s="6" t="s">
        <v>48</v>
      </c>
      <c r="N35" s="6"/>
      <c r="O35" s="6"/>
      <c r="P35" s="6"/>
      <c r="Q35" s="6" t="s">
        <v>284</v>
      </c>
    </row>
    <row r="36" spans="1:17" ht="82.05" customHeight="1" x14ac:dyDescent="0.3">
      <c r="A36" s="2" t="s">
        <v>285</v>
      </c>
      <c r="B36" s="3" t="s">
        <v>286</v>
      </c>
      <c r="C36" s="3" t="s">
        <v>287</v>
      </c>
      <c r="D36" s="3" t="s">
        <v>288</v>
      </c>
      <c r="E36" s="3" t="s">
        <v>289</v>
      </c>
      <c r="F36" s="3" t="s">
        <v>22</v>
      </c>
      <c r="G36" s="3" t="s">
        <v>290</v>
      </c>
      <c r="H36" s="3" t="s">
        <v>291</v>
      </c>
      <c r="I36" s="3" t="s">
        <v>292</v>
      </c>
      <c r="J36" s="3" t="s">
        <v>293</v>
      </c>
      <c r="K36" s="3"/>
      <c r="L36" s="4" t="s">
        <v>27</v>
      </c>
      <c r="M36" s="3" t="s">
        <v>22</v>
      </c>
      <c r="N36" s="3"/>
      <c r="O36" s="3"/>
      <c r="P36" s="3"/>
      <c r="Q36" s="3" t="s">
        <v>294</v>
      </c>
    </row>
    <row r="37" spans="1:17" ht="82.05" customHeight="1" x14ac:dyDescent="0.3">
      <c r="A37" s="5" t="s">
        <v>295</v>
      </c>
      <c r="B37" s="6" t="s">
        <v>286</v>
      </c>
      <c r="C37" s="6" t="s">
        <v>296</v>
      </c>
      <c r="D37" s="6" t="s">
        <v>297</v>
      </c>
      <c r="E37" s="6" t="s">
        <v>135</v>
      </c>
      <c r="F37" s="6" t="s">
        <v>22</v>
      </c>
      <c r="G37" s="6" t="s">
        <v>298</v>
      </c>
      <c r="H37" s="6" t="s">
        <v>299</v>
      </c>
      <c r="I37" s="6" t="s">
        <v>300</v>
      </c>
      <c r="J37" s="6" t="s">
        <v>301</v>
      </c>
      <c r="K37" s="6"/>
      <c r="L37" s="4" t="s">
        <v>27</v>
      </c>
      <c r="M37" s="6" t="s">
        <v>22</v>
      </c>
      <c r="N37" s="6"/>
      <c r="O37" s="6"/>
      <c r="P37" s="6"/>
      <c r="Q37" s="6" t="s">
        <v>302</v>
      </c>
    </row>
    <row r="38" spans="1:17" ht="82.05" customHeight="1" x14ac:dyDescent="0.3">
      <c r="A38" s="2" t="s">
        <v>303</v>
      </c>
      <c r="B38" s="3" t="s">
        <v>286</v>
      </c>
      <c r="C38" s="3" t="s">
        <v>304</v>
      </c>
      <c r="D38" s="3" t="s">
        <v>305</v>
      </c>
      <c r="E38" s="3" t="s">
        <v>306</v>
      </c>
      <c r="F38" s="3" t="s">
        <v>22</v>
      </c>
      <c r="G38" s="3" t="s">
        <v>307</v>
      </c>
      <c r="H38" s="3" t="s">
        <v>308</v>
      </c>
      <c r="I38" s="3" t="s">
        <v>309</v>
      </c>
      <c r="J38" s="3" t="s">
        <v>310</v>
      </c>
      <c r="K38" s="3"/>
      <c r="L38" s="4" t="s">
        <v>27</v>
      </c>
      <c r="M38" s="3" t="s">
        <v>22</v>
      </c>
      <c r="N38" s="3"/>
      <c r="O38" s="3"/>
      <c r="P38" s="3"/>
      <c r="Q38" s="3" t="s">
        <v>311</v>
      </c>
    </row>
    <row r="39" spans="1:17" ht="82.05" customHeight="1" x14ac:dyDescent="0.3">
      <c r="A39" s="5" t="s">
        <v>312</v>
      </c>
      <c r="B39" s="6" t="s">
        <v>286</v>
      </c>
      <c r="C39" s="6" t="s">
        <v>313</v>
      </c>
      <c r="D39" s="6" t="s">
        <v>314</v>
      </c>
      <c r="E39" s="6" t="s">
        <v>315</v>
      </c>
      <c r="F39" s="6" t="s">
        <v>22</v>
      </c>
      <c r="G39" s="6" t="s">
        <v>316</v>
      </c>
      <c r="H39" s="6" t="s">
        <v>317</v>
      </c>
      <c r="I39" s="6" t="s">
        <v>318</v>
      </c>
      <c r="J39" s="6" t="s">
        <v>319</v>
      </c>
      <c r="K39" s="6"/>
      <c r="L39" s="4" t="s">
        <v>27</v>
      </c>
      <c r="M39" s="6" t="s">
        <v>22</v>
      </c>
      <c r="N39" s="6"/>
      <c r="O39" s="6"/>
      <c r="P39" s="6"/>
      <c r="Q39" s="6"/>
    </row>
    <row r="40" spans="1:17" ht="82.05" customHeight="1" x14ac:dyDescent="0.3">
      <c r="A40" s="2" t="s">
        <v>320</v>
      </c>
      <c r="B40" s="3" t="s">
        <v>286</v>
      </c>
      <c r="C40" s="3" t="s">
        <v>321</v>
      </c>
      <c r="D40" s="3" t="s">
        <v>322</v>
      </c>
      <c r="E40" s="3" t="s">
        <v>323</v>
      </c>
      <c r="F40" s="3" t="s">
        <v>22</v>
      </c>
      <c r="G40" s="3" t="s">
        <v>324</v>
      </c>
      <c r="H40" s="3" t="s">
        <v>325</v>
      </c>
      <c r="I40" s="3" t="s">
        <v>326</v>
      </c>
      <c r="J40" s="3" t="s">
        <v>327</v>
      </c>
      <c r="K40" s="3"/>
      <c r="L40" s="4" t="s">
        <v>27</v>
      </c>
      <c r="M40" s="3" t="s">
        <v>22</v>
      </c>
      <c r="N40" s="3"/>
      <c r="O40" s="3"/>
      <c r="P40" s="3"/>
      <c r="Q40" s="3"/>
    </row>
    <row r="41" spans="1:17" ht="82.05" customHeight="1" x14ac:dyDescent="0.3">
      <c r="A41" s="5" t="s">
        <v>328</v>
      </c>
      <c r="B41" s="6" t="s">
        <v>286</v>
      </c>
      <c r="C41" s="6" t="s">
        <v>329</v>
      </c>
      <c r="D41" s="6" t="s">
        <v>288</v>
      </c>
      <c r="E41" s="6" t="s">
        <v>330</v>
      </c>
      <c r="F41" s="6" t="s">
        <v>67</v>
      </c>
      <c r="G41" s="6" t="s">
        <v>331</v>
      </c>
      <c r="H41" s="6" t="s">
        <v>332</v>
      </c>
      <c r="I41" s="6" t="s">
        <v>333</v>
      </c>
      <c r="J41" s="6" t="s">
        <v>334</v>
      </c>
      <c r="K41" s="6"/>
      <c r="L41" s="4" t="s">
        <v>27</v>
      </c>
      <c r="M41" s="6" t="s">
        <v>67</v>
      </c>
      <c r="N41" s="6"/>
      <c r="O41" s="6"/>
      <c r="P41" s="6"/>
      <c r="Q41" s="6"/>
    </row>
    <row r="42" spans="1:17" ht="82.05" customHeight="1" x14ac:dyDescent="0.3">
      <c r="A42" s="2" t="s">
        <v>335</v>
      </c>
      <c r="B42" s="3" t="s">
        <v>286</v>
      </c>
      <c r="C42" s="3" t="s">
        <v>336</v>
      </c>
      <c r="D42" s="3" t="s">
        <v>337</v>
      </c>
      <c r="E42" s="3" t="s">
        <v>338</v>
      </c>
      <c r="F42" s="3" t="s">
        <v>48</v>
      </c>
      <c r="G42" s="3" t="s">
        <v>339</v>
      </c>
      <c r="H42" s="3" t="s">
        <v>340</v>
      </c>
      <c r="I42" s="3" t="s">
        <v>341</v>
      </c>
      <c r="J42" s="3" t="s">
        <v>342</v>
      </c>
      <c r="K42" s="3"/>
      <c r="L42" s="4" t="s">
        <v>27</v>
      </c>
      <c r="M42" s="3" t="s">
        <v>48</v>
      </c>
      <c r="N42" s="3"/>
      <c r="O42" s="3"/>
      <c r="P42" s="3"/>
      <c r="Q42" s="3" t="s">
        <v>343</v>
      </c>
    </row>
    <row r="43" spans="1:17" ht="82.05" customHeight="1" x14ac:dyDescent="0.3">
      <c r="A43" s="5" t="s">
        <v>344</v>
      </c>
      <c r="B43" s="6" t="s">
        <v>345</v>
      </c>
      <c r="C43" s="6" t="s">
        <v>346</v>
      </c>
      <c r="D43" s="6" t="s">
        <v>347</v>
      </c>
      <c r="E43" s="6" t="s">
        <v>348</v>
      </c>
      <c r="F43" s="6" t="s">
        <v>22</v>
      </c>
      <c r="G43" s="6" t="s">
        <v>349</v>
      </c>
      <c r="H43" s="6" t="s">
        <v>350</v>
      </c>
      <c r="I43" s="6" t="s">
        <v>351</v>
      </c>
      <c r="J43" s="6" t="s">
        <v>352</v>
      </c>
      <c r="K43" s="6"/>
      <c r="L43" s="4" t="s">
        <v>27</v>
      </c>
      <c r="M43" s="6" t="s">
        <v>22</v>
      </c>
      <c r="N43" s="6"/>
      <c r="O43" s="6"/>
      <c r="P43" s="6"/>
      <c r="Q43" s="6" t="s">
        <v>353</v>
      </c>
    </row>
    <row r="44" spans="1:17" ht="82.05" customHeight="1" x14ac:dyDescent="0.3">
      <c r="A44" s="2" t="s">
        <v>354</v>
      </c>
      <c r="B44" s="3" t="s">
        <v>345</v>
      </c>
      <c r="C44" s="3" t="s">
        <v>355</v>
      </c>
      <c r="D44" s="3" t="s">
        <v>347</v>
      </c>
      <c r="E44" s="3" t="s">
        <v>356</v>
      </c>
      <c r="F44" s="3" t="s">
        <v>48</v>
      </c>
      <c r="G44" s="3" t="s">
        <v>357</v>
      </c>
      <c r="H44" s="3" t="s">
        <v>358</v>
      </c>
      <c r="I44" s="3" t="s">
        <v>359</v>
      </c>
      <c r="J44" s="3" t="s">
        <v>360</v>
      </c>
      <c r="K44" s="3"/>
      <c r="L44" s="4" t="s">
        <v>27</v>
      </c>
      <c r="M44" s="3" t="s">
        <v>48</v>
      </c>
      <c r="N44" s="3"/>
      <c r="O44" s="3"/>
      <c r="P44" s="3"/>
      <c r="Q44" s="3" t="s">
        <v>361</v>
      </c>
    </row>
    <row r="45" spans="1:17" ht="82.05" customHeight="1" x14ac:dyDescent="0.3">
      <c r="A45" s="5" t="s">
        <v>362</v>
      </c>
      <c r="B45" s="6" t="s">
        <v>345</v>
      </c>
      <c r="C45" s="6" t="s">
        <v>363</v>
      </c>
      <c r="D45" s="6" t="s">
        <v>364</v>
      </c>
      <c r="E45" s="6" t="s">
        <v>365</v>
      </c>
      <c r="F45" s="6" t="s">
        <v>67</v>
      </c>
      <c r="G45" s="6" t="s">
        <v>366</v>
      </c>
      <c r="H45" s="6" t="s">
        <v>367</v>
      </c>
      <c r="I45" s="6" t="s">
        <v>368</v>
      </c>
      <c r="J45" s="6" t="s">
        <v>369</v>
      </c>
      <c r="K45" s="6"/>
      <c r="L45" s="4" t="s">
        <v>27</v>
      </c>
      <c r="M45" s="6" t="s">
        <v>67</v>
      </c>
      <c r="N45" s="6"/>
      <c r="O45" s="6"/>
      <c r="P45" s="6"/>
      <c r="Q45" s="6"/>
    </row>
    <row r="46" spans="1:17" ht="82.05" customHeight="1" x14ac:dyDescent="0.3">
      <c r="A46" s="2" t="s">
        <v>370</v>
      </c>
      <c r="B46" s="3" t="s">
        <v>345</v>
      </c>
      <c r="C46" s="3" t="s">
        <v>371</v>
      </c>
      <c r="D46" s="3" t="s">
        <v>347</v>
      </c>
      <c r="E46" s="3" t="s">
        <v>372</v>
      </c>
      <c r="F46" s="3" t="s">
        <v>48</v>
      </c>
      <c r="G46" s="3" t="s">
        <v>373</v>
      </c>
      <c r="H46" s="3" t="s">
        <v>374</v>
      </c>
      <c r="I46" s="3" t="s">
        <v>375</v>
      </c>
      <c r="J46" s="3" t="s">
        <v>376</v>
      </c>
      <c r="K46" s="3"/>
      <c r="L46" s="4" t="s">
        <v>27</v>
      </c>
      <c r="M46" s="3" t="s">
        <v>48</v>
      </c>
      <c r="N46" s="3"/>
      <c r="O46" s="3"/>
      <c r="P46" s="3"/>
      <c r="Q46" s="3" t="s">
        <v>377</v>
      </c>
    </row>
    <row r="47" spans="1:17" ht="82.05" customHeight="1" x14ac:dyDescent="0.3">
      <c r="A47" s="5" t="s">
        <v>378</v>
      </c>
      <c r="B47" s="6" t="s">
        <v>345</v>
      </c>
      <c r="C47" s="6" t="s">
        <v>379</v>
      </c>
      <c r="D47" s="6" t="s">
        <v>380</v>
      </c>
      <c r="E47" s="6" t="s">
        <v>315</v>
      </c>
      <c r="F47" s="6" t="s">
        <v>48</v>
      </c>
      <c r="G47" s="6" t="s">
        <v>381</v>
      </c>
      <c r="H47" s="6" t="s">
        <v>382</v>
      </c>
      <c r="I47" s="6" t="s">
        <v>383</v>
      </c>
      <c r="J47" s="6" t="s">
        <v>384</v>
      </c>
      <c r="K47" s="6"/>
      <c r="L47" s="4" t="s">
        <v>27</v>
      </c>
      <c r="M47" s="6" t="s">
        <v>48</v>
      </c>
      <c r="N47" s="6"/>
      <c r="O47" s="6"/>
      <c r="P47" s="6"/>
      <c r="Q47" s="6" t="s">
        <v>385</v>
      </c>
    </row>
    <row r="48" spans="1:17" ht="82.05" customHeight="1" x14ac:dyDescent="0.3">
      <c r="A48" s="2" t="s">
        <v>386</v>
      </c>
      <c r="B48" s="3" t="s">
        <v>387</v>
      </c>
      <c r="C48" s="3" t="s">
        <v>388</v>
      </c>
      <c r="D48" s="3" t="s">
        <v>389</v>
      </c>
      <c r="E48" s="3" t="s">
        <v>365</v>
      </c>
      <c r="F48" s="3" t="s">
        <v>67</v>
      </c>
      <c r="G48" s="3" t="s">
        <v>390</v>
      </c>
      <c r="H48" s="3" t="s">
        <v>391</v>
      </c>
      <c r="I48" s="3" t="s">
        <v>392</v>
      </c>
      <c r="J48" s="3" t="s">
        <v>393</v>
      </c>
      <c r="K48" s="3"/>
      <c r="L48" s="4" t="s">
        <v>27</v>
      </c>
      <c r="M48" s="3" t="s">
        <v>67</v>
      </c>
      <c r="N48" s="3"/>
      <c r="O48" s="3"/>
      <c r="P48" s="3"/>
      <c r="Q48" s="3"/>
    </row>
    <row r="49" spans="1:17" ht="82.05" customHeight="1" x14ac:dyDescent="0.3">
      <c r="A49" s="5" t="s">
        <v>394</v>
      </c>
      <c r="B49" s="6" t="s">
        <v>395</v>
      </c>
      <c r="C49" s="6" t="s">
        <v>396</v>
      </c>
      <c r="D49" s="6" t="s">
        <v>397</v>
      </c>
      <c r="E49" s="6" t="s">
        <v>315</v>
      </c>
      <c r="F49" s="6" t="s">
        <v>48</v>
      </c>
      <c r="G49" s="6" t="s">
        <v>398</v>
      </c>
      <c r="H49" s="6" t="s">
        <v>399</v>
      </c>
      <c r="I49" s="6" t="s">
        <v>400</v>
      </c>
      <c r="J49" s="6" t="s">
        <v>401</v>
      </c>
      <c r="K49" s="6"/>
      <c r="L49" s="4" t="s">
        <v>27</v>
      </c>
      <c r="M49" s="6" t="s">
        <v>48</v>
      </c>
      <c r="N49" s="6"/>
      <c r="O49" s="6"/>
      <c r="P49" s="6"/>
      <c r="Q49" s="6"/>
    </row>
    <row r="50" spans="1:17" ht="82.05" customHeight="1" x14ac:dyDescent="0.3">
      <c r="A50" s="2" t="s">
        <v>402</v>
      </c>
      <c r="B50" s="3" t="s">
        <v>403</v>
      </c>
      <c r="C50" s="3" t="s">
        <v>404</v>
      </c>
      <c r="D50" s="3" t="s">
        <v>405</v>
      </c>
      <c r="E50" s="3" t="s">
        <v>406</v>
      </c>
      <c r="F50" s="3" t="s">
        <v>48</v>
      </c>
      <c r="G50" s="3" t="s">
        <v>407</v>
      </c>
      <c r="H50" s="3" t="s">
        <v>408</v>
      </c>
      <c r="I50" s="3" t="s">
        <v>409</v>
      </c>
      <c r="J50" s="3" t="s">
        <v>410</v>
      </c>
      <c r="K50" s="3"/>
      <c r="L50" s="4" t="s">
        <v>27</v>
      </c>
      <c r="M50" s="3" t="s">
        <v>411</v>
      </c>
      <c r="N50" s="3"/>
      <c r="O50" s="3"/>
      <c r="P50" s="3"/>
      <c r="Q50" s="3"/>
    </row>
    <row r="51" spans="1:17" ht="82.05" customHeight="1" x14ac:dyDescent="0.3">
      <c r="A51" s="5" t="s">
        <v>412</v>
      </c>
      <c r="B51" s="6" t="s">
        <v>413</v>
      </c>
      <c r="C51" s="6" t="s">
        <v>414</v>
      </c>
      <c r="D51" s="6" t="s">
        <v>87</v>
      </c>
      <c r="E51" s="6" t="s">
        <v>415</v>
      </c>
      <c r="F51" s="6" t="s">
        <v>22</v>
      </c>
      <c r="G51" s="6" t="s">
        <v>416</v>
      </c>
      <c r="H51" s="6" t="s">
        <v>417</v>
      </c>
      <c r="I51" s="6" t="s">
        <v>418</v>
      </c>
      <c r="J51" s="6" t="s">
        <v>419</v>
      </c>
      <c r="K51" s="6"/>
      <c r="L51" s="4" t="s">
        <v>27</v>
      </c>
      <c r="M51" s="6" t="s">
        <v>22</v>
      </c>
      <c r="N51" s="6"/>
      <c r="O51" s="6"/>
      <c r="P51" s="6"/>
      <c r="Q51" s="6"/>
    </row>
    <row r="52" spans="1:17" ht="82.05" customHeight="1" x14ac:dyDescent="0.3">
      <c r="A52" s="2" t="s">
        <v>420</v>
      </c>
      <c r="B52" s="3" t="s">
        <v>421</v>
      </c>
      <c r="C52" s="3" t="s">
        <v>422</v>
      </c>
      <c r="D52" s="3" t="s">
        <v>423</v>
      </c>
      <c r="E52" s="3" t="s">
        <v>421</v>
      </c>
      <c r="F52" s="3" t="s">
        <v>48</v>
      </c>
      <c r="G52" s="3" t="s">
        <v>424</v>
      </c>
      <c r="H52" s="3" t="s">
        <v>425</v>
      </c>
      <c r="I52" s="3" t="s">
        <v>426</v>
      </c>
      <c r="J52" s="3" t="s">
        <v>427</v>
      </c>
      <c r="K52" s="3"/>
      <c r="L52" s="4" t="s">
        <v>27</v>
      </c>
      <c r="M52" s="3" t="s">
        <v>48</v>
      </c>
      <c r="N52" s="3"/>
      <c r="O52" s="3"/>
      <c r="P52" s="3"/>
      <c r="Q52" s="3" t="s">
        <v>428</v>
      </c>
    </row>
    <row r="53" spans="1:17" ht="82.05" customHeight="1" x14ac:dyDescent="0.3">
      <c r="A53" s="5" t="s">
        <v>429</v>
      </c>
      <c r="B53" s="6" t="s">
        <v>430</v>
      </c>
      <c r="C53" s="6" t="s">
        <v>431</v>
      </c>
      <c r="D53" s="6" t="s">
        <v>423</v>
      </c>
      <c r="E53" s="6" t="s">
        <v>432</v>
      </c>
      <c r="F53" s="6" t="s">
        <v>48</v>
      </c>
      <c r="G53" s="6" t="s">
        <v>433</v>
      </c>
      <c r="H53" s="6" t="s">
        <v>434</v>
      </c>
      <c r="I53" s="6" t="s">
        <v>435</v>
      </c>
      <c r="J53" s="6" t="s">
        <v>436</v>
      </c>
      <c r="K53" s="6"/>
      <c r="L53" s="4" t="s">
        <v>27</v>
      </c>
      <c r="M53" s="6" t="s">
        <v>48</v>
      </c>
      <c r="N53" s="6"/>
      <c r="O53" s="6"/>
      <c r="P53" s="6"/>
      <c r="Q53" s="6" t="s">
        <v>437</v>
      </c>
    </row>
    <row r="54" spans="1:17" ht="82.05" customHeight="1" x14ac:dyDescent="0.3">
      <c r="A54" s="2" t="s">
        <v>438</v>
      </c>
      <c r="B54" s="3" t="s">
        <v>439</v>
      </c>
      <c r="C54" s="3" t="s">
        <v>440</v>
      </c>
      <c r="D54" s="3" t="s">
        <v>423</v>
      </c>
      <c r="E54" s="3" t="s">
        <v>439</v>
      </c>
      <c r="F54" s="3" t="s">
        <v>48</v>
      </c>
      <c r="G54" s="3" t="s">
        <v>441</v>
      </c>
      <c r="H54" s="3" t="s">
        <v>442</v>
      </c>
      <c r="I54" s="3" t="s">
        <v>443</v>
      </c>
      <c r="J54" s="3" t="s">
        <v>444</v>
      </c>
      <c r="K54" s="3"/>
      <c r="L54" s="4" t="s">
        <v>27</v>
      </c>
      <c r="M54" s="3" t="s">
        <v>48</v>
      </c>
      <c r="N54" s="3"/>
      <c r="O54" s="3"/>
      <c r="P54" s="3"/>
      <c r="Q54" s="3" t="s">
        <v>445</v>
      </c>
    </row>
    <row r="55" spans="1:17" ht="82.05" customHeight="1" x14ac:dyDescent="0.3">
      <c r="A55" s="5" t="s">
        <v>446</v>
      </c>
      <c r="B55" s="6" t="s">
        <v>447</v>
      </c>
      <c r="C55" s="6" t="s">
        <v>448</v>
      </c>
      <c r="D55" s="6" t="s">
        <v>449</v>
      </c>
      <c r="E55" s="6" t="s">
        <v>450</v>
      </c>
      <c r="F55" s="6" t="s">
        <v>22</v>
      </c>
      <c r="G55" s="6" t="s">
        <v>451</v>
      </c>
      <c r="H55" s="6" t="s">
        <v>452</v>
      </c>
      <c r="I55" s="6" t="s">
        <v>453</v>
      </c>
      <c r="J55" s="6" t="s">
        <v>454</v>
      </c>
      <c r="K55" s="6"/>
      <c r="L55" s="4" t="s">
        <v>27</v>
      </c>
      <c r="M55" s="6" t="s">
        <v>22</v>
      </c>
      <c r="N55" s="6"/>
      <c r="O55" s="6"/>
      <c r="P55" s="6"/>
      <c r="Q55" s="6"/>
    </row>
    <row r="56" spans="1:17" ht="82.05" customHeight="1" x14ac:dyDescent="0.3">
      <c r="A56" s="2" t="s">
        <v>455</v>
      </c>
      <c r="B56" s="3" t="s">
        <v>456</v>
      </c>
      <c r="C56" s="3" t="s">
        <v>457</v>
      </c>
      <c r="D56" s="3" t="s">
        <v>397</v>
      </c>
      <c r="E56" s="3" t="s">
        <v>458</v>
      </c>
      <c r="F56" s="3" t="s">
        <v>411</v>
      </c>
      <c r="G56" s="3" t="s">
        <v>459</v>
      </c>
      <c r="H56" s="3" t="s">
        <v>460</v>
      </c>
      <c r="I56" s="3" t="s">
        <v>461</v>
      </c>
      <c r="J56" s="3" t="s">
        <v>462</v>
      </c>
      <c r="K56" s="3"/>
      <c r="L56" s="4" t="s">
        <v>27</v>
      </c>
      <c r="M56" s="3" t="s">
        <v>411</v>
      </c>
      <c r="N56" s="3"/>
      <c r="O56" s="3"/>
      <c r="P56" s="3"/>
      <c r="Q56" s="3" t="s">
        <v>463</v>
      </c>
    </row>
  </sheetData>
  <autoFilter ref="A1:Q56" xr:uid="{00000000-0009-0000-0000-000000000000}"/>
  <conditionalFormatting sqref="L2:L56">
    <cfRule type="expression" dxfId="2" priority="1">
      <formula>L2="Pass"</formula>
    </cfRule>
    <cfRule type="expression" dxfId="1" priority="2">
      <formula>L2="Fail"</formula>
    </cfRule>
    <cfRule type="expression" dxfId="0" priority="3">
      <formula>L2="Blocked"</formula>
    </cfRule>
  </conditionalFormatting>
  <dataValidations count="2">
    <dataValidation type="list" sqref="L2:L56" xr:uid="{00000000-0002-0000-0000-000000000000}">
      <formula1>"Not Run,Pass,Fail,Blocked,Not Applicable"</formula1>
    </dataValidation>
    <dataValidation type="list" allowBlank="1" sqref="F2:F56 M2:M56" xr:uid="{00000000-0002-0000-0000-000001000000}">
      <formula1>"Critical,High,Medium,Low"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28" customWidth="1"/>
    <col min="2" max="2" width="52" customWidth="1"/>
    <col min="3" max="4" width="24" customWidth="1"/>
  </cols>
  <sheetData>
    <row r="1" spans="1:4" ht="21" x14ac:dyDescent="0.4">
      <c r="A1" s="11" t="s">
        <v>464</v>
      </c>
      <c r="B1" s="12"/>
      <c r="C1" s="12"/>
      <c r="D1" s="12"/>
    </row>
    <row r="3" spans="1:4" x14ac:dyDescent="0.3">
      <c r="A3" s="7" t="s">
        <v>465</v>
      </c>
      <c r="B3" s="8" t="s">
        <v>466</v>
      </c>
    </row>
    <row r="4" spans="1:4" ht="28.8" x14ac:dyDescent="0.3">
      <c r="A4" s="7" t="s">
        <v>467</v>
      </c>
      <c r="B4" s="8" t="s">
        <v>468</v>
      </c>
    </row>
    <row r="5" spans="1:4" x14ac:dyDescent="0.3">
      <c r="A5" s="7" t="s">
        <v>469</v>
      </c>
      <c r="B5" s="8">
        <f>COUNTA('Test Cases'!A2:A56)</f>
        <v>55</v>
      </c>
    </row>
    <row r="6" spans="1:4" x14ac:dyDescent="0.3">
      <c r="A6" s="7" t="s">
        <v>470</v>
      </c>
      <c r="B6" s="8">
        <f>COUNTIF('Test Cases'!L2:L56,"Pass")</f>
        <v>0</v>
      </c>
    </row>
    <row r="7" spans="1:4" x14ac:dyDescent="0.3">
      <c r="A7" s="7" t="s">
        <v>471</v>
      </c>
      <c r="B7" s="8">
        <f>COUNTIF('Test Cases'!L2:L56,"Fail")</f>
        <v>0</v>
      </c>
    </row>
    <row r="8" spans="1:4" x14ac:dyDescent="0.3">
      <c r="A8" s="7" t="s">
        <v>472</v>
      </c>
      <c r="B8" s="8">
        <f>COUNTIF('Test Cases'!L2:L56,"Blocked")</f>
        <v>0</v>
      </c>
    </row>
    <row r="9" spans="1:4" x14ac:dyDescent="0.3">
      <c r="A9" s="7" t="s">
        <v>27</v>
      </c>
      <c r="B9" s="8">
        <f>COUNTIF('Test Cases'!L2:L56,"Not Run")</f>
        <v>55</v>
      </c>
    </row>
    <row r="11" spans="1:4" ht="15.6" x14ac:dyDescent="0.3">
      <c r="A11" s="9" t="s">
        <v>473</v>
      </c>
    </row>
    <row r="12" spans="1:4" ht="30" customHeight="1" x14ac:dyDescent="0.3">
      <c r="A12" s="13" t="s">
        <v>474</v>
      </c>
      <c r="B12" s="12"/>
      <c r="C12" s="12"/>
      <c r="D12" s="12"/>
    </row>
    <row r="13" spans="1:4" ht="30" customHeight="1" x14ac:dyDescent="0.3">
      <c r="A13" s="13" t="s">
        <v>475</v>
      </c>
      <c r="B13" s="12"/>
      <c r="C13" s="12"/>
      <c r="D13" s="12"/>
    </row>
    <row r="14" spans="1:4" ht="30" customHeight="1" x14ac:dyDescent="0.3">
      <c r="A14" s="13" t="s">
        <v>476</v>
      </c>
      <c r="B14" s="12"/>
      <c r="C14" s="12"/>
      <c r="D14" s="12"/>
    </row>
    <row r="15" spans="1:4" ht="30" customHeight="1" x14ac:dyDescent="0.3">
      <c r="A15" s="13" t="s">
        <v>477</v>
      </c>
      <c r="B15" s="12"/>
      <c r="C15" s="12"/>
      <c r="D15" s="12"/>
    </row>
    <row r="16" spans="1:4" ht="30" customHeight="1" x14ac:dyDescent="0.3">
      <c r="A16" s="13" t="s">
        <v>478</v>
      </c>
      <c r="B16" s="12"/>
      <c r="C16" s="12"/>
      <c r="D16" s="12"/>
    </row>
    <row r="17" spans="1:4" ht="30" customHeight="1" x14ac:dyDescent="0.3">
      <c r="A17" s="13" t="s">
        <v>479</v>
      </c>
      <c r="B17" s="12"/>
      <c r="C17" s="12"/>
      <c r="D17" s="12"/>
    </row>
    <row r="19" spans="1:4" x14ac:dyDescent="0.3">
      <c r="A19" s="14" t="s">
        <v>480</v>
      </c>
      <c r="B19" s="12"/>
      <c r="C19" s="12"/>
      <c r="D19" s="12"/>
    </row>
  </sheetData>
  <mergeCells count="8">
    <mergeCell ref="A19:D19"/>
    <mergeCell ref="A13:D13"/>
    <mergeCell ref="A14:D14"/>
    <mergeCell ref="A1:D1"/>
    <mergeCell ref="A17:D17"/>
    <mergeCell ref="A12:D12"/>
    <mergeCell ref="A15:D15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55" customWidth="1"/>
    <col min="3" max="3" width="72" customWidth="1"/>
    <col min="4" max="4" width="16" customWidth="1"/>
  </cols>
  <sheetData>
    <row r="1" spans="1:4" ht="34.049999999999997" customHeight="1" x14ac:dyDescent="0.3">
      <c r="A1" s="10" t="s">
        <v>481</v>
      </c>
      <c r="B1" s="10" t="s">
        <v>482</v>
      </c>
      <c r="C1" s="10" t="s">
        <v>483</v>
      </c>
      <c r="D1" s="10" t="s">
        <v>11</v>
      </c>
    </row>
    <row r="2" spans="1:4" ht="58.05" customHeight="1" x14ac:dyDescent="0.3">
      <c r="A2" s="3" t="s">
        <v>484</v>
      </c>
      <c r="B2" s="3" t="s">
        <v>485</v>
      </c>
      <c r="C2" s="3" t="s">
        <v>486</v>
      </c>
      <c r="D2" s="3" t="s">
        <v>487</v>
      </c>
    </row>
    <row r="3" spans="1:4" ht="58.05" customHeight="1" x14ac:dyDescent="0.3">
      <c r="A3" s="6" t="s">
        <v>488</v>
      </c>
      <c r="B3" s="6" t="s">
        <v>489</v>
      </c>
      <c r="C3" s="6" t="s">
        <v>490</v>
      </c>
      <c r="D3" s="6" t="s">
        <v>487</v>
      </c>
    </row>
    <row r="4" spans="1:4" ht="58.05" customHeight="1" x14ac:dyDescent="0.3">
      <c r="A4" s="3" t="s">
        <v>491</v>
      </c>
      <c r="B4" s="3" t="s">
        <v>492</v>
      </c>
      <c r="C4" s="3" t="s">
        <v>493</v>
      </c>
      <c r="D4" s="3" t="s">
        <v>487</v>
      </c>
    </row>
    <row r="5" spans="1:4" ht="58.05" customHeight="1" x14ac:dyDescent="0.3">
      <c r="A5" s="6" t="s">
        <v>171</v>
      </c>
      <c r="B5" s="6" t="s">
        <v>494</v>
      </c>
      <c r="C5" s="6" t="s">
        <v>495</v>
      </c>
      <c r="D5" s="6" t="s">
        <v>487</v>
      </c>
    </row>
    <row r="6" spans="1:4" ht="58.05" customHeight="1" x14ac:dyDescent="0.3">
      <c r="A6" s="3" t="s">
        <v>233</v>
      </c>
      <c r="B6" s="3" t="s">
        <v>496</v>
      </c>
      <c r="C6" s="3" t="s">
        <v>497</v>
      </c>
      <c r="D6" s="3" t="s">
        <v>487</v>
      </c>
    </row>
    <row r="7" spans="1:4" ht="58.05" customHeight="1" x14ac:dyDescent="0.3">
      <c r="A7" s="6" t="s">
        <v>253</v>
      </c>
      <c r="B7" s="6" t="s">
        <v>498</v>
      </c>
      <c r="C7" s="6" t="s">
        <v>499</v>
      </c>
      <c r="D7" s="6" t="s">
        <v>487</v>
      </c>
    </row>
    <row r="8" spans="1:4" ht="58.05" customHeight="1" x14ac:dyDescent="0.3">
      <c r="A8" s="3" t="s">
        <v>500</v>
      </c>
      <c r="B8" s="3" t="s">
        <v>501</v>
      </c>
      <c r="C8" s="3" t="s">
        <v>502</v>
      </c>
      <c r="D8" s="3" t="s">
        <v>487</v>
      </c>
    </row>
    <row r="9" spans="1:4" ht="58.05" customHeight="1" x14ac:dyDescent="0.3">
      <c r="A9" s="6" t="s">
        <v>345</v>
      </c>
      <c r="B9" s="6" t="s">
        <v>503</v>
      </c>
      <c r="C9" s="6" t="s">
        <v>504</v>
      </c>
      <c r="D9" s="6" t="s">
        <v>487</v>
      </c>
    </row>
    <row r="10" spans="1:4" ht="58.05" customHeight="1" x14ac:dyDescent="0.3">
      <c r="A10" s="3" t="s">
        <v>505</v>
      </c>
      <c r="B10" s="3" t="s">
        <v>506</v>
      </c>
      <c r="C10" s="3" t="s">
        <v>507</v>
      </c>
      <c r="D10" s="3" t="s">
        <v>487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Test Data &amp; TBCs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Dushi</cp:lastModifiedBy>
  <dcterms:created xsi:type="dcterms:W3CDTF">2026-10-11T06:14:45Z</dcterms:created>
  <dcterms:modified xsi:type="dcterms:W3CDTF">2026-10-11T15:51:43Z</dcterms:modified>
</cp:coreProperties>
</file>